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blo\Documents\FREELANCE\10 - Fiestas\FIFA 2026\excel\"/>
    </mc:Choice>
  </mc:AlternateContent>
  <xr:revisionPtr revIDLastSave="0" documentId="8_{A0C3A033-1ACC-4002-AFDF-64AB9CC132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DEASPARAIMPRIMIR.C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U6" i="1" s="1"/>
  <c r="W108" i="1"/>
  <c r="W106" i="1"/>
  <c r="W104" i="1"/>
  <c r="W102" i="1"/>
  <c r="W100" i="1"/>
  <c r="W98" i="1"/>
  <c r="W96" i="1"/>
  <c r="W94" i="1"/>
  <c r="W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R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PLANILLA REALIZADA POR:
https://ideasparaimprimir.com</t>
        </r>
      </text>
    </comment>
  </commentList>
</comments>
</file>

<file path=xl/sharedStrings.xml><?xml version="1.0" encoding="utf-8"?>
<sst xmlns="http://schemas.openxmlformats.org/spreadsheetml/2006/main" count="1053" uniqueCount="1052">
  <si>
    <t>TOTAL</t>
  </si>
  <si>
    <t>OBTUVE</t>
  </si>
  <si>
    <t>RESTAN</t>
  </si>
  <si>
    <t>Realizado por ideasparaimprimir.com</t>
  </si>
  <si>
    <t>PORCENTAJE DE LLENADO</t>
  </si>
  <si>
    <t>0: No la tengo</t>
  </si>
  <si>
    <t>1: La tengo</t>
  </si>
  <si>
    <t>FWC</t>
  </si>
  <si>
    <t>FWC1</t>
  </si>
  <si>
    <t>FWC2</t>
  </si>
  <si>
    <t>FWC3</t>
  </si>
  <si>
    <t>FWC4</t>
  </si>
  <si>
    <t>FWC5</t>
  </si>
  <si>
    <t>FWC6</t>
  </si>
  <si>
    <t>FWC7</t>
  </si>
  <si>
    <t>FWC8</t>
  </si>
  <si>
    <t>MÉXICO</t>
  </si>
  <si>
    <t>MEX1</t>
  </si>
  <si>
    <t>MEX2</t>
  </si>
  <si>
    <t>MEX3</t>
  </si>
  <si>
    <t>MEX4</t>
  </si>
  <si>
    <t>MEX5</t>
  </si>
  <si>
    <t>MEX6</t>
  </si>
  <si>
    <t>MEX7</t>
  </si>
  <si>
    <t>MEX8</t>
  </si>
  <si>
    <t>MEX9</t>
  </si>
  <si>
    <t>MEX10</t>
  </si>
  <si>
    <t>MEX11</t>
  </si>
  <si>
    <t>MEX12</t>
  </si>
  <si>
    <t>MEX13</t>
  </si>
  <si>
    <t>MEX14</t>
  </si>
  <si>
    <t>MEX15</t>
  </si>
  <si>
    <t>MEX16</t>
  </si>
  <si>
    <t>MEX17</t>
  </si>
  <si>
    <t>MEX18</t>
  </si>
  <si>
    <t>MEX19</t>
  </si>
  <si>
    <t>MEX20</t>
  </si>
  <si>
    <t>COCA COLA</t>
  </si>
  <si>
    <t>RSA1</t>
  </si>
  <si>
    <t>RSA2</t>
  </si>
  <si>
    <t>RSA3</t>
  </si>
  <si>
    <t>RSA4</t>
  </si>
  <si>
    <t>RSA5</t>
  </si>
  <si>
    <t>RSA6</t>
  </si>
  <si>
    <t>RSA7</t>
  </si>
  <si>
    <t>RSA8</t>
  </si>
  <si>
    <t>RSA9</t>
  </si>
  <si>
    <t>RSA10</t>
  </si>
  <si>
    <t>RSA11</t>
  </si>
  <si>
    <t>RSA12</t>
  </si>
  <si>
    <t>RSA13</t>
  </si>
  <si>
    <t>RSA14</t>
  </si>
  <si>
    <t>RSA15</t>
  </si>
  <si>
    <t>RSA16</t>
  </si>
  <si>
    <t>RSA17</t>
  </si>
  <si>
    <t>RSA18</t>
  </si>
  <si>
    <t>RSA19</t>
  </si>
  <si>
    <t>RSA20</t>
  </si>
  <si>
    <t>KOR1</t>
  </si>
  <si>
    <t>KOR2</t>
  </si>
  <si>
    <t>KOR3</t>
  </si>
  <si>
    <t>KOR4</t>
  </si>
  <si>
    <t>KOR5</t>
  </si>
  <si>
    <t>KOR6</t>
  </si>
  <si>
    <t>KOR7</t>
  </si>
  <si>
    <t>KOR8</t>
  </si>
  <si>
    <t>KOR9</t>
  </si>
  <si>
    <t>KOR10</t>
  </si>
  <si>
    <t>KOR11</t>
  </si>
  <si>
    <t>KOR12</t>
  </si>
  <si>
    <t>KOR13</t>
  </si>
  <si>
    <t>KOR14</t>
  </si>
  <si>
    <t>KOR15</t>
  </si>
  <si>
    <t>KOR16</t>
  </si>
  <si>
    <t>KOR17</t>
  </si>
  <si>
    <t>KOR18</t>
  </si>
  <si>
    <t>KOR19</t>
  </si>
  <si>
    <t>KOR20</t>
  </si>
  <si>
    <t>CZE1</t>
  </si>
  <si>
    <t>CAN1</t>
  </si>
  <si>
    <t>BIH1</t>
  </si>
  <si>
    <t>QAT1</t>
  </si>
  <si>
    <t>SUI1</t>
  </si>
  <si>
    <t>BRA1</t>
  </si>
  <si>
    <t>HAI1</t>
  </si>
  <si>
    <t>MAR1</t>
  </si>
  <si>
    <t>MAR2</t>
  </si>
  <si>
    <t>MAR3</t>
  </si>
  <si>
    <t>MAR4</t>
  </si>
  <si>
    <t>MAR5</t>
  </si>
  <si>
    <t>MAR6</t>
  </si>
  <si>
    <t>MAR7</t>
  </si>
  <si>
    <t>MAR8</t>
  </si>
  <si>
    <t>MAR9</t>
  </si>
  <si>
    <t>MAR10</t>
  </si>
  <si>
    <t>MAR11</t>
  </si>
  <si>
    <t>MAR12</t>
  </si>
  <si>
    <t>MAR13</t>
  </si>
  <si>
    <t>MAR14</t>
  </si>
  <si>
    <t>MAR15</t>
  </si>
  <si>
    <t>MAR16</t>
  </si>
  <si>
    <t>MAR17</t>
  </si>
  <si>
    <t>MAR18</t>
  </si>
  <si>
    <t>MAR19</t>
  </si>
  <si>
    <t>MAR20</t>
  </si>
  <si>
    <t>SC01</t>
  </si>
  <si>
    <t>USA1</t>
  </si>
  <si>
    <t>PAR1</t>
  </si>
  <si>
    <t>AUS1</t>
  </si>
  <si>
    <t>TUR1</t>
  </si>
  <si>
    <t>GER1</t>
  </si>
  <si>
    <t>CUW1</t>
  </si>
  <si>
    <t>CIV1</t>
  </si>
  <si>
    <t>ECU1</t>
  </si>
  <si>
    <t>NED1</t>
  </si>
  <si>
    <t>JPN1</t>
  </si>
  <si>
    <t>SWE1</t>
  </si>
  <si>
    <t>TUN1</t>
  </si>
  <si>
    <t>BEL1</t>
  </si>
  <si>
    <t>EGY1</t>
  </si>
  <si>
    <t>IRN1</t>
  </si>
  <si>
    <t>NZL1</t>
  </si>
  <si>
    <t>ESP1</t>
  </si>
  <si>
    <t>CPV1</t>
  </si>
  <si>
    <t>KSA1</t>
  </si>
  <si>
    <t>URU1</t>
  </si>
  <si>
    <t>FRA1</t>
  </si>
  <si>
    <t>SEN1</t>
  </si>
  <si>
    <t>IRQ1</t>
  </si>
  <si>
    <t>NOR1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</si>
  <si>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</si>
  <si>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</si>
  <si>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</si>
  <si>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</si>
  <si>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</si>
  <si>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</si>
  <si>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</si>
  <si>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</si>
  <si>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</si>
  <si>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</si>
  <si>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</si>
  <si>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</si>
  <si>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</si>
  <si>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</si>
  <si>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</si>
  <si>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</si>
  <si>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</si>
  <si>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</si>
  <si>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</si>
  <si>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</si>
  <si>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ALG1</t>
  </si>
  <si>
    <t>AUT1</t>
  </si>
  <si>
    <t>JOR1</t>
  </si>
  <si>
    <t>POR1</t>
  </si>
  <si>
    <t>COD1</t>
  </si>
  <si>
    <t>UZB1</t>
  </si>
  <si>
    <t>COL1</t>
  </si>
  <si>
    <t>ENG1</t>
  </si>
  <si>
    <t>CRO1</t>
  </si>
  <si>
    <t>GHA1</t>
  </si>
  <si>
    <t>PAN1</t>
  </si>
  <si>
    <t>FWC9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</si>
  <si>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</si>
  <si>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</si>
  <si>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</si>
  <si>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</si>
  <si>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</si>
  <si>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</si>
  <si>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</si>
  <si>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</si>
  <si>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</si>
  <si>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</si>
  <si>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</si>
  <si>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</si>
  <si>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</si>
  <si>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</si>
  <si>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FWC10</t>
  </si>
  <si>
    <t>FWC11</t>
  </si>
  <si>
    <t>FWC12</t>
  </si>
  <si>
    <t>FWC13</t>
  </si>
  <si>
    <t>FWC14</t>
  </si>
  <si>
    <t>FWC15</t>
  </si>
  <si>
    <t>FWC16</t>
  </si>
  <si>
    <t>FWC17</t>
  </si>
  <si>
    <t>FWC18</t>
  </si>
  <si>
    <t>FWC19</t>
  </si>
  <si>
    <t>CZE2</t>
  </si>
  <si>
    <t>CZE3</t>
  </si>
  <si>
    <t>CZE4</t>
  </si>
  <si>
    <t>CZE5</t>
  </si>
  <si>
    <t>CZE6</t>
  </si>
  <si>
    <t>CZE7</t>
  </si>
  <si>
    <t>CZE8</t>
  </si>
  <si>
    <t>CZE9</t>
  </si>
  <si>
    <t>CZE10</t>
  </si>
  <si>
    <t>CZE11</t>
  </si>
  <si>
    <t>CZE12</t>
  </si>
  <si>
    <t>CZE13</t>
  </si>
  <si>
    <t>CZE14</t>
  </si>
  <si>
    <t>CZE15</t>
  </si>
  <si>
    <t>CZE16</t>
  </si>
  <si>
    <t>CZE17</t>
  </si>
  <si>
    <t>CZE18</t>
  </si>
  <si>
    <t>CZE19</t>
  </si>
  <si>
    <t>CZE20</t>
  </si>
  <si>
    <t>CAN2</t>
  </si>
  <si>
    <t>CAN3</t>
  </si>
  <si>
    <t>CAN4</t>
  </si>
  <si>
    <t>CAN5</t>
  </si>
  <si>
    <t>CAN6</t>
  </si>
  <si>
    <t>CAN7</t>
  </si>
  <si>
    <t>CAN8</t>
  </si>
  <si>
    <t>CAN9</t>
  </si>
  <si>
    <t>CAN10</t>
  </si>
  <si>
    <t>CAN11</t>
  </si>
  <si>
    <t>CAN12</t>
  </si>
  <si>
    <t>CAN13</t>
  </si>
  <si>
    <t>CAN14</t>
  </si>
  <si>
    <t>CAN15</t>
  </si>
  <si>
    <t>CAN16</t>
  </si>
  <si>
    <t>CAN17</t>
  </si>
  <si>
    <t>CAN18</t>
  </si>
  <si>
    <t>CAN19</t>
  </si>
  <si>
    <t>CAN20</t>
  </si>
  <si>
    <t>BIH2</t>
  </si>
  <si>
    <t>BIH3</t>
  </si>
  <si>
    <t>BIH4</t>
  </si>
  <si>
    <t>BIH5</t>
  </si>
  <si>
    <t>BIH6</t>
  </si>
  <si>
    <t>BIH7</t>
  </si>
  <si>
    <t>BIH8</t>
  </si>
  <si>
    <t>BIH9</t>
  </si>
  <si>
    <t>BIH10</t>
  </si>
  <si>
    <t>BIH11</t>
  </si>
  <si>
    <t>BIH12</t>
  </si>
  <si>
    <t>BIH13</t>
  </si>
  <si>
    <t>BIH14</t>
  </si>
  <si>
    <t>BIH15</t>
  </si>
  <si>
    <t>BIH16</t>
  </si>
  <si>
    <t>BIH17</t>
  </si>
  <si>
    <t>BIH18</t>
  </si>
  <si>
    <t>BIH19</t>
  </si>
  <si>
    <t>BIH20</t>
  </si>
  <si>
    <t>QAT2</t>
  </si>
  <si>
    <t>QAT3</t>
  </si>
  <si>
    <t>QAT4</t>
  </si>
  <si>
    <t>QAT5</t>
  </si>
  <si>
    <t>QAT6</t>
  </si>
  <si>
    <t>QAT7</t>
  </si>
  <si>
    <t>QAT8</t>
  </si>
  <si>
    <t>QAT9</t>
  </si>
  <si>
    <t>QAT10</t>
  </si>
  <si>
    <t>QAT11</t>
  </si>
  <si>
    <t>QAT12</t>
  </si>
  <si>
    <t>QAT13</t>
  </si>
  <si>
    <t>QAT14</t>
  </si>
  <si>
    <t>QAT15</t>
  </si>
  <si>
    <t>QAT16</t>
  </si>
  <si>
    <t>QAT17</t>
  </si>
  <si>
    <t>QAT18</t>
  </si>
  <si>
    <t>QAT19</t>
  </si>
  <si>
    <t>QAT20</t>
  </si>
  <si>
    <t>SUI2</t>
  </si>
  <si>
    <t>SUI3</t>
  </si>
  <si>
    <t>SUI4</t>
  </si>
  <si>
    <t>SUI5</t>
  </si>
  <si>
    <t>SUI6</t>
  </si>
  <si>
    <t>SUI7</t>
  </si>
  <si>
    <t>SUI8</t>
  </si>
  <si>
    <t>SUI9</t>
  </si>
  <si>
    <t>SUI10</t>
  </si>
  <si>
    <t>SUI11</t>
  </si>
  <si>
    <t>SUI12</t>
  </si>
  <si>
    <t>SUI13</t>
  </si>
  <si>
    <t>SUI14</t>
  </si>
  <si>
    <t>SUI15</t>
  </si>
  <si>
    <t>SUI16</t>
  </si>
  <si>
    <t>SUI17</t>
  </si>
  <si>
    <t>SUI18</t>
  </si>
  <si>
    <t>SUI19</t>
  </si>
  <si>
    <t>SUI20</t>
  </si>
  <si>
    <t>BRA2</t>
  </si>
  <si>
    <t>BRA3</t>
  </si>
  <si>
    <t>BRA4</t>
  </si>
  <si>
    <t>BRA5</t>
  </si>
  <si>
    <t>BRA6</t>
  </si>
  <si>
    <t>BRA7</t>
  </si>
  <si>
    <t>BRA8</t>
  </si>
  <si>
    <t>BRA9</t>
  </si>
  <si>
    <t>BRA10</t>
  </si>
  <si>
    <t>BRA11</t>
  </si>
  <si>
    <t>BRA12</t>
  </si>
  <si>
    <t>BRA13</t>
  </si>
  <si>
    <t>BRA14</t>
  </si>
  <si>
    <t>BRA15</t>
  </si>
  <si>
    <t>BRA16</t>
  </si>
  <si>
    <t>BRA17</t>
  </si>
  <si>
    <t>BRA18</t>
  </si>
  <si>
    <t>BRA19</t>
  </si>
  <si>
    <t>BRA20</t>
  </si>
  <si>
    <t>HAI2</t>
  </si>
  <si>
    <t>HAI3</t>
  </si>
  <si>
    <t>HAI4</t>
  </si>
  <si>
    <t>HAI5</t>
  </si>
  <si>
    <t>HAI6</t>
  </si>
  <si>
    <t>HAI7</t>
  </si>
  <si>
    <t>HAI8</t>
  </si>
  <si>
    <t>HAI9</t>
  </si>
  <si>
    <t>HAI10</t>
  </si>
  <si>
    <t>HAI11</t>
  </si>
  <si>
    <t>HAI12</t>
  </si>
  <si>
    <t>HAI13</t>
  </si>
  <si>
    <t>HAI14</t>
  </si>
  <si>
    <t>HAI15</t>
  </si>
  <si>
    <t>HAI16</t>
  </si>
  <si>
    <t>HAI17</t>
  </si>
  <si>
    <t>HAI18</t>
  </si>
  <si>
    <t>HAI19</t>
  </si>
  <si>
    <t>HAI20</t>
  </si>
  <si>
    <t>SC02</t>
  </si>
  <si>
    <t>SC03</t>
  </si>
  <si>
    <t>SC04</t>
  </si>
  <si>
    <t>SC05</t>
  </si>
  <si>
    <t>SC06</t>
  </si>
  <si>
    <t>SC07</t>
  </si>
  <si>
    <t>SC08</t>
  </si>
  <si>
    <t>SC09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</si>
  <si>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</si>
  <si>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</si>
  <si>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</si>
  <si>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</si>
  <si>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</si>
  <si>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</si>
  <si>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</si>
  <si>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</si>
  <si>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</si>
  <si>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</si>
  <si>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</si>
  <si>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USA2</t>
  </si>
  <si>
    <t>USA3</t>
  </si>
  <si>
    <t>USA4</t>
  </si>
  <si>
    <t>USA5</t>
  </si>
  <si>
    <t>USA6</t>
  </si>
  <si>
    <t>USA7</t>
  </si>
  <si>
    <t>USA8</t>
  </si>
  <si>
    <t>USA9</t>
  </si>
  <si>
    <t>USA10</t>
  </si>
  <si>
    <t>USA11</t>
  </si>
  <si>
    <t>USA12</t>
  </si>
  <si>
    <t>USA13</t>
  </si>
  <si>
    <t>USA14</t>
  </si>
  <si>
    <t>USA15</t>
  </si>
  <si>
    <t>USA16</t>
  </si>
  <si>
    <t>USA17</t>
  </si>
  <si>
    <t>USA18</t>
  </si>
  <si>
    <t>USA19</t>
  </si>
  <si>
    <t>USA20</t>
  </si>
  <si>
    <t>PAR2</t>
  </si>
  <si>
    <t>PAR3</t>
  </si>
  <si>
    <t>PAR4</t>
  </si>
  <si>
    <t>PAR5</t>
  </si>
  <si>
    <t>PAR6</t>
  </si>
  <si>
    <t>PAR7</t>
  </si>
  <si>
    <t>PAR8</t>
  </si>
  <si>
    <t>PAR9</t>
  </si>
  <si>
    <t>PAR10</t>
  </si>
  <si>
    <t>PAR11</t>
  </si>
  <si>
    <t>PAR12</t>
  </si>
  <si>
    <t>PAR13</t>
  </si>
  <si>
    <t>PAR14</t>
  </si>
  <si>
    <t>PAR15</t>
  </si>
  <si>
    <t>PAR16</t>
  </si>
  <si>
    <t>PAR17</t>
  </si>
  <si>
    <t>PAR18</t>
  </si>
  <si>
    <t>PAR19</t>
  </si>
  <si>
    <t>PAR20</t>
  </si>
  <si>
    <t>AUS2</t>
  </si>
  <si>
    <t>AUS3</t>
  </si>
  <si>
    <t>AUS4</t>
  </si>
  <si>
    <t>AUS5</t>
  </si>
  <si>
    <t>AUS6</t>
  </si>
  <si>
    <t>AUS7</t>
  </si>
  <si>
    <t>AUS8</t>
  </si>
  <si>
    <t>AUS9</t>
  </si>
  <si>
    <t>AUS10</t>
  </si>
  <si>
    <t>AUS11</t>
  </si>
  <si>
    <t>AUS12</t>
  </si>
  <si>
    <t>AUS13</t>
  </si>
  <si>
    <t>AUS14</t>
  </si>
  <si>
    <t>AUS15</t>
  </si>
  <si>
    <t>AUS16</t>
  </si>
  <si>
    <t>AUS17</t>
  </si>
  <si>
    <t>AUS18</t>
  </si>
  <si>
    <t>AUS19</t>
  </si>
  <si>
    <t>AUS20</t>
  </si>
  <si>
    <t>TUR2</t>
  </si>
  <si>
    <t>TUR3</t>
  </si>
  <si>
    <t>TUR4</t>
  </si>
  <si>
    <t>TUR5</t>
  </si>
  <si>
    <t>TUR6</t>
  </si>
  <si>
    <t>TUR7</t>
  </si>
  <si>
    <t>TUR8</t>
  </si>
  <si>
    <t>TUR9</t>
  </si>
  <si>
    <t>TUR10</t>
  </si>
  <si>
    <t>TUR11</t>
  </si>
  <si>
    <t>TUR12</t>
  </si>
  <si>
    <t>TUR13</t>
  </si>
  <si>
    <t>TUR14</t>
  </si>
  <si>
    <t>TUR15</t>
  </si>
  <si>
    <t>TUR16</t>
  </si>
  <si>
    <t>TUR17</t>
  </si>
  <si>
    <t>TUR18</t>
  </si>
  <si>
    <t>TUR19</t>
  </si>
  <si>
    <t>TUR20</t>
  </si>
  <si>
    <t>GER2</t>
  </si>
  <si>
    <t>GER3</t>
  </si>
  <si>
    <t>GER4</t>
  </si>
  <si>
    <t>GER5</t>
  </si>
  <si>
    <t>GER6</t>
  </si>
  <si>
    <t>GER7</t>
  </si>
  <si>
    <t>GER8</t>
  </si>
  <si>
    <t>GER9</t>
  </si>
  <si>
    <t>GER10</t>
  </si>
  <si>
    <t>GER11</t>
  </si>
  <si>
    <t>GER12</t>
  </si>
  <si>
    <t>GER13</t>
  </si>
  <si>
    <t>GER14</t>
  </si>
  <si>
    <t>GER15</t>
  </si>
  <si>
    <t>GER16</t>
  </si>
  <si>
    <t>GER17</t>
  </si>
  <si>
    <t>GER18</t>
  </si>
  <si>
    <t>GER19</t>
  </si>
  <si>
    <t>GER20</t>
  </si>
  <si>
    <t>CUW2</t>
  </si>
  <si>
    <t>CUW3</t>
  </si>
  <si>
    <t>CUW4</t>
  </si>
  <si>
    <t>CUW5</t>
  </si>
  <si>
    <t>CUW6</t>
  </si>
  <si>
    <t>CUW7</t>
  </si>
  <si>
    <t>CUW8</t>
  </si>
  <si>
    <t>CUW9</t>
  </si>
  <si>
    <t>CUW10</t>
  </si>
  <si>
    <t>CUW11</t>
  </si>
  <si>
    <t>CUW12</t>
  </si>
  <si>
    <t>CUW13</t>
  </si>
  <si>
    <t>CUW14</t>
  </si>
  <si>
    <t>CUW15</t>
  </si>
  <si>
    <t>CUW16</t>
  </si>
  <si>
    <t>CUW17</t>
  </si>
  <si>
    <t>CUW18</t>
  </si>
  <si>
    <t>CUW19</t>
  </si>
  <si>
    <t>CUW20</t>
  </si>
  <si>
    <t>CIV2</t>
  </si>
  <si>
    <t>CIV3</t>
  </si>
  <si>
    <t>CIV4</t>
  </si>
  <si>
    <t>CIV5</t>
  </si>
  <si>
    <t>CIV6</t>
  </si>
  <si>
    <t>CIV7</t>
  </si>
  <si>
    <t>CIV8</t>
  </si>
  <si>
    <t>CIV9</t>
  </si>
  <si>
    <t>CIV10</t>
  </si>
  <si>
    <t>CIV11</t>
  </si>
  <si>
    <t>CIV12</t>
  </si>
  <si>
    <t>CIV13</t>
  </si>
  <si>
    <t>CIV14</t>
  </si>
  <si>
    <t>CIV15</t>
  </si>
  <si>
    <t>CIV16</t>
  </si>
  <si>
    <t>CIV17</t>
  </si>
  <si>
    <t>CIV18</t>
  </si>
  <si>
    <t>CIV19</t>
  </si>
  <si>
    <t>CIV20</t>
  </si>
  <si>
    <t>ECU2</t>
  </si>
  <si>
    <t>ECU3</t>
  </si>
  <si>
    <t>ECU4</t>
  </si>
  <si>
    <t>ECU5</t>
  </si>
  <si>
    <t>ECU6</t>
  </si>
  <si>
    <t>ECU7</t>
  </si>
  <si>
    <t>ECU8</t>
  </si>
  <si>
    <t>ECU9</t>
  </si>
  <si>
    <t>ECU10</t>
  </si>
  <si>
    <t>ECU11</t>
  </si>
  <si>
    <t>ECU12</t>
  </si>
  <si>
    <t>ECU13</t>
  </si>
  <si>
    <t>ECU14</t>
  </si>
  <si>
    <t>ECU15</t>
  </si>
  <si>
    <t>ECU16</t>
  </si>
  <si>
    <t>ECU17</t>
  </si>
  <si>
    <t>ECU18</t>
  </si>
  <si>
    <t>ECU19</t>
  </si>
  <si>
    <t>ECU20</t>
  </si>
  <si>
    <t>NED2</t>
  </si>
  <si>
    <t>NED3</t>
  </si>
  <si>
    <t>NED4</t>
  </si>
  <si>
    <t>NED5</t>
  </si>
  <si>
    <t>NED6</t>
  </si>
  <si>
    <t>NED7</t>
  </si>
  <si>
    <t>NED8</t>
  </si>
  <si>
    <t>NED9</t>
  </si>
  <si>
    <t>NED10</t>
  </si>
  <si>
    <t>NED11</t>
  </si>
  <si>
    <t>NED12</t>
  </si>
  <si>
    <t>NED13</t>
  </si>
  <si>
    <t>NED14</t>
  </si>
  <si>
    <t>NED15</t>
  </si>
  <si>
    <t>NED16</t>
  </si>
  <si>
    <t>NED17</t>
  </si>
  <si>
    <t>NED18</t>
  </si>
  <si>
    <t>NED19</t>
  </si>
  <si>
    <t>NED20</t>
  </si>
  <si>
    <t>JPN2</t>
  </si>
  <si>
    <t>JPN3</t>
  </si>
  <si>
    <t>JPN4</t>
  </si>
  <si>
    <t>JPN5</t>
  </si>
  <si>
    <t>JPN6</t>
  </si>
  <si>
    <t>JPN7</t>
  </si>
  <si>
    <t>JPN8</t>
  </si>
  <si>
    <t>JPN9</t>
  </si>
  <si>
    <t>JPN10</t>
  </si>
  <si>
    <t>JPN11</t>
  </si>
  <si>
    <t>JPN12</t>
  </si>
  <si>
    <t>JPN13</t>
  </si>
  <si>
    <t>JPN14</t>
  </si>
  <si>
    <t>JPN15</t>
  </si>
  <si>
    <t>JPN16</t>
  </si>
  <si>
    <t>JPN17</t>
  </si>
  <si>
    <t>JPN18</t>
  </si>
  <si>
    <t>JPN19</t>
  </si>
  <si>
    <t>JPN20</t>
  </si>
  <si>
    <t>SWE2</t>
  </si>
  <si>
    <t>SWE3</t>
  </si>
  <si>
    <t>SWE4</t>
  </si>
  <si>
    <t>SWE5</t>
  </si>
  <si>
    <t>SWE6</t>
  </si>
  <si>
    <t>SWE7</t>
  </si>
  <si>
    <t>SWE8</t>
  </si>
  <si>
    <t>SWE9</t>
  </si>
  <si>
    <t>SWE10</t>
  </si>
  <si>
    <t>SWE11</t>
  </si>
  <si>
    <t>SWE12</t>
  </si>
  <si>
    <t>SWE13</t>
  </si>
  <si>
    <t>SWE14</t>
  </si>
  <si>
    <t>SWE15</t>
  </si>
  <si>
    <t>SWE16</t>
  </si>
  <si>
    <t>SWE17</t>
  </si>
  <si>
    <t>SWE18</t>
  </si>
  <si>
    <t>SWE19</t>
  </si>
  <si>
    <t>SWE20</t>
  </si>
  <si>
    <t>TUN2</t>
  </si>
  <si>
    <t>TUN3</t>
  </si>
  <si>
    <t>TUN4</t>
  </si>
  <si>
    <t>TUN5</t>
  </si>
  <si>
    <t>TUN6</t>
  </si>
  <si>
    <t>TUN7</t>
  </si>
  <si>
    <t>TUN8</t>
  </si>
  <si>
    <t>TUN9</t>
  </si>
  <si>
    <t>TUN10</t>
  </si>
  <si>
    <t>TUN11</t>
  </si>
  <si>
    <t>TUN12</t>
  </si>
  <si>
    <t>TUN13</t>
  </si>
  <si>
    <t>TUN14</t>
  </si>
  <si>
    <t>TUN15</t>
  </si>
  <si>
    <t>TUN16</t>
  </si>
  <si>
    <t>TUN17</t>
  </si>
  <si>
    <t>TUN18</t>
  </si>
  <si>
    <t>TUN19</t>
  </si>
  <si>
    <t>TUN20</t>
  </si>
  <si>
    <t>BEL2</t>
  </si>
  <si>
    <t>BEL3</t>
  </si>
  <si>
    <t>BEL4</t>
  </si>
  <si>
    <t>BEL5</t>
  </si>
  <si>
    <t>BEL6</t>
  </si>
  <si>
    <t>BEL7</t>
  </si>
  <si>
    <t>BEL8</t>
  </si>
  <si>
    <t>BEL9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</si>
  <si>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</si>
  <si>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</si>
  <si>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</si>
  <si>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</si>
  <si>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</si>
  <si>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</si>
  <si>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</si>
  <si>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</si>
  <si>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</si>
  <si>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</si>
  <si>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</si>
  <si>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EGY2</t>
  </si>
  <si>
    <t>EGY3</t>
  </si>
  <si>
    <t>EGY4</t>
  </si>
  <si>
    <t>EGY5</t>
  </si>
  <si>
    <t>EGY6</t>
  </si>
  <si>
    <t>EGY7</t>
  </si>
  <si>
    <t>EGY8</t>
  </si>
  <si>
    <t>EGY9</t>
  </si>
  <si>
    <t>EGY10</t>
  </si>
  <si>
    <t>EGY11</t>
  </si>
  <si>
    <t>EGY12</t>
  </si>
  <si>
    <t>EGY13</t>
  </si>
  <si>
    <t>EGY14</t>
  </si>
  <si>
    <t>EGY15</t>
  </si>
  <si>
    <t>EGY16</t>
  </si>
  <si>
    <t>EGY17</t>
  </si>
  <si>
    <t>EGY18</t>
  </si>
  <si>
    <t>EGY19</t>
  </si>
  <si>
    <t>EGY20</t>
  </si>
  <si>
    <t>IRN2</t>
  </si>
  <si>
    <t>IRN3</t>
  </si>
  <si>
    <t>IRN4</t>
  </si>
  <si>
    <t>IRN5</t>
  </si>
  <si>
    <t>IRN6</t>
  </si>
  <si>
    <t>IRN7</t>
  </si>
  <si>
    <t>IRN8</t>
  </si>
  <si>
    <t>IRN9</t>
  </si>
  <si>
    <t>IRN10</t>
  </si>
  <si>
    <t>IRN11</t>
  </si>
  <si>
    <t>IRN12</t>
  </si>
  <si>
    <t>IRN13</t>
  </si>
  <si>
    <t>IRN14</t>
  </si>
  <si>
    <t>IRN15</t>
  </si>
  <si>
    <t>IRN16</t>
  </si>
  <si>
    <t>IRN17</t>
  </si>
  <si>
    <t>IRN18</t>
  </si>
  <si>
    <t>IRN19</t>
  </si>
  <si>
    <t>IRN20</t>
  </si>
  <si>
    <t>NZL2</t>
  </si>
  <si>
    <t>NZL3</t>
  </si>
  <si>
    <t>NZL4</t>
  </si>
  <si>
    <t>NZL5</t>
  </si>
  <si>
    <t>NZL6</t>
  </si>
  <si>
    <t>NZL7</t>
  </si>
  <si>
    <t>NZL8</t>
  </si>
  <si>
    <t>NZL9</t>
  </si>
  <si>
    <t>NZL10</t>
  </si>
  <si>
    <t>NZL11</t>
  </si>
  <si>
    <t>NZL12</t>
  </si>
  <si>
    <t>NZL13</t>
  </si>
  <si>
    <t>NZL14</t>
  </si>
  <si>
    <t>NZL15</t>
  </si>
  <si>
    <t>NZL16</t>
  </si>
  <si>
    <t>NZL17</t>
  </si>
  <si>
    <t>NZL18</t>
  </si>
  <si>
    <t>NZL19</t>
  </si>
  <si>
    <t>NZL20</t>
  </si>
  <si>
    <t>ESP2</t>
  </si>
  <si>
    <t>ESP3</t>
  </si>
  <si>
    <t>ESP4</t>
  </si>
  <si>
    <t>ESP5</t>
  </si>
  <si>
    <t>ESP6</t>
  </si>
  <si>
    <t>ESP7</t>
  </si>
  <si>
    <t>ESP8</t>
  </si>
  <si>
    <t>ESP9</t>
  </si>
  <si>
    <t>ESP10</t>
  </si>
  <si>
    <t>ESP11</t>
  </si>
  <si>
    <t>ESP12</t>
  </si>
  <si>
    <t>ESP13</t>
  </si>
  <si>
    <t>ESP14</t>
  </si>
  <si>
    <t>ESP15</t>
  </si>
  <si>
    <t>ESP16</t>
  </si>
  <si>
    <t>ESP17</t>
  </si>
  <si>
    <t>ESP18</t>
  </si>
  <si>
    <t>ESP19</t>
  </si>
  <si>
    <t>ESP20</t>
  </si>
  <si>
    <t>CPV2</t>
  </si>
  <si>
    <t>CPV3</t>
  </si>
  <si>
    <t>CPV4</t>
  </si>
  <si>
    <t>CPV5</t>
  </si>
  <si>
    <t>CPV6</t>
  </si>
  <si>
    <t>CPV7</t>
  </si>
  <si>
    <t>CPV8</t>
  </si>
  <si>
    <t>CPV9</t>
  </si>
  <si>
    <t>CPV10</t>
  </si>
  <si>
    <t>CPV11</t>
  </si>
  <si>
    <t>CPV12</t>
  </si>
  <si>
    <t>CPV13</t>
  </si>
  <si>
    <t>CPV14</t>
  </si>
  <si>
    <t>CPV15</t>
  </si>
  <si>
    <t>CPV16</t>
  </si>
  <si>
    <t>CPV17</t>
  </si>
  <si>
    <t>CPV18</t>
  </si>
  <si>
    <t>CPV19</t>
  </si>
  <si>
    <t>CPV20</t>
  </si>
  <si>
    <t>KSA2</t>
  </si>
  <si>
    <t>KSA3</t>
  </si>
  <si>
    <t>KSA4</t>
  </si>
  <si>
    <t>KSA5</t>
  </si>
  <si>
    <t>KSA6</t>
  </si>
  <si>
    <t>KSA7</t>
  </si>
  <si>
    <t>KSA8</t>
  </si>
  <si>
    <t>KSA9</t>
  </si>
  <si>
    <t>KSA10</t>
  </si>
  <si>
    <t>KSA11</t>
  </si>
  <si>
    <t>KSA12</t>
  </si>
  <si>
    <t>KSA13</t>
  </si>
  <si>
    <t>KSA14</t>
  </si>
  <si>
    <t>KSA15</t>
  </si>
  <si>
    <t>KSA16</t>
  </si>
  <si>
    <t>KSA17</t>
  </si>
  <si>
    <t>KSA18</t>
  </si>
  <si>
    <t>KSA19</t>
  </si>
  <si>
    <t>KSA20</t>
  </si>
  <si>
    <t>URU2</t>
  </si>
  <si>
    <t>URU3</t>
  </si>
  <si>
    <t>URU4</t>
  </si>
  <si>
    <t>URU5</t>
  </si>
  <si>
    <t>URU6</t>
  </si>
  <si>
    <t>URU7</t>
  </si>
  <si>
    <t>URU8</t>
  </si>
  <si>
    <t>URU9</t>
  </si>
  <si>
    <t>URU10</t>
  </si>
  <si>
    <t>URU11</t>
  </si>
  <si>
    <t>URU12</t>
  </si>
  <si>
    <t>URU13</t>
  </si>
  <si>
    <t>URU14</t>
  </si>
  <si>
    <t>URU15</t>
  </si>
  <si>
    <t>URU16</t>
  </si>
  <si>
    <t>URU17</t>
  </si>
  <si>
    <t>URU18</t>
  </si>
  <si>
    <t>URU19</t>
  </si>
  <si>
    <t>URU20</t>
  </si>
  <si>
    <t>FRA2</t>
  </si>
  <si>
    <t>FRA3</t>
  </si>
  <si>
    <t>FRA4</t>
  </si>
  <si>
    <t>FRA5</t>
  </si>
  <si>
    <t>FRA6</t>
  </si>
  <si>
    <t>FRA7</t>
  </si>
  <si>
    <t>FRA8</t>
  </si>
  <si>
    <t>FRA9</t>
  </si>
  <si>
    <t>FRA10</t>
  </si>
  <si>
    <t>FRA11</t>
  </si>
  <si>
    <t>FRA12</t>
  </si>
  <si>
    <t>FRA13</t>
  </si>
  <si>
    <t>FRA14</t>
  </si>
  <si>
    <t>FRA15</t>
  </si>
  <si>
    <t>FRA16</t>
  </si>
  <si>
    <t>FRA17</t>
  </si>
  <si>
    <t>FRA18</t>
  </si>
  <si>
    <t>FRA19</t>
  </si>
  <si>
    <t>FRA20</t>
  </si>
  <si>
    <t>SEN2</t>
  </si>
  <si>
    <t>SEN3</t>
  </si>
  <si>
    <t>SEN4</t>
  </si>
  <si>
    <t>SEN5</t>
  </si>
  <si>
    <t>SEN6</t>
  </si>
  <si>
    <t>SEN7</t>
  </si>
  <si>
    <t>SEN8</t>
  </si>
  <si>
    <t>SEN9</t>
  </si>
  <si>
    <t>SEN10</t>
  </si>
  <si>
    <t>SEN11</t>
  </si>
  <si>
    <t>SEN12</t>
  </si>
  <si>
    <t>SEN13</t>
  </si>
  <si>
    <t>SEN14</t>
  </si>
  <si>
    <t>SEN15</t>
  </si>
  <si>
    <t>SEN16</t>
  </si>
  <si>
    <t>SEN17</t>
  </si>
  <si>
    <t>SEN18</t>
  </si>
  <si>
    <t>SEN19</t>
  </si>
  <si>
    <t>SEN20</t>
  </si>
  <si>
    <t>IRQ2</t>
  </si>
  <si>
    <t>IRQ3</t>
  </si>
  <si>
    <t>IRQ4</t>
  </si>
  <si>
    <t>IRQ5</t>
  </si>
  <si>
    <t>IRQ6</t>
  </si>
  <si>
    <t>IRQ7</t>
  </si>
  <si>
    <t>IRQ8</t>
  </si>
  <si>
    <t>IRQ9</t>
  </si>
  <si>
    <t>IRQ10</t>
  </si>
  <si>
    <t>IRQ11</t>
  </si>
  <si>
    <t>IRQ12</t>
  </si>
  <si>
    <t>IRQ13</t>
  </si>
  <si>
    <t>IRQ14</t>
  </si>
  <si>
    <t>IRQ15</t>
  </si>
  <si>
    <t>IRQ16</t>
  </si>
  <si>
    <t>IRQ17</t>
  </si>
  <si>
    <t>IRQ18</t>
  </si>
  <si>
    <t>IRQ19</t>
  </si>
  <si>
    <t>IRQ20</t>
  </si>
  <si>
    <t>NOR2</t>
  </si>
  <si>
    <t>NOR3</t>
  </si>
  <si>
    <t>NOR4</t>
  </si>
  <si>
    <t>NOR5</t>
  </si>
  <si>
    <t>NOR6</t>
  </si>
  <si>
    <t>NOR7</t>
  </si>
  <si>
    <t>NOR8</t>
  </si>
  <si>
    <t>NOR9</t>
  </si>
  <si>
    <t>NOR10</t>
  </si>
  <si>
    <t>NOR11</t>
  </si>
  <si>
    <t>NOR12</t>
  </si>
  <si>
    <t>NOR13</t>
  </si>
  <si>
    <t>NOR14</t>
  </si>
  <si>
    <t>NOR15</t>
  </si>
  <si>
    <t>NOR16</t>
  </si>
  <si>
    <t>NOR17</t>
  </si>
  <si>
    <t>NOR18</t>
  </si>
  <si>
    <t>NOR19</t>
  </si>
  <si>
    <t>NOR20</t>
  </si>
  <si>
    <t>ALG2</t>
  </si>
  <si>
    <t>ALG3</t>
  </si>
  <si>
    <t>ALG4</t>
  </si>
  <si>
    <t>ALG5</t>
  </si>
  <si>
    <t>ALG6</t>
  </si>
  <si>
    <t>ALG7</t>
  </si>
  <si>
    <t>ALG8</t>
  </si>
  <si>
    <t>ALG9</t>
  </si>
  <si>
    <t>ALG10</t>
  </si>
  <si>
    <t>ALG11</t>
  </si>
  <si>
    <t>ALG12</t>
  </si>
  <si>
    <t>ALG13</t>
  </si>
  <si>
    <t>ALG14</t>
  </si>
  <si>
    <t>ALG15</t>
  </si>
  <si>
    <t>ALG16</t>
  </si>
  <si>
    <t>ALG17</t>
  </si>
  <si>
    <t>ALG18</t>
  </si>
  <si>
    <t>ALG19</t>
  </si>
  <si>
    <t>ALG20</t>
  </si>
  <si>
    <t>AUT2</t>
  </si>
  <si>
    <t>AUT3</t>
  </si>
  <si>
    <t>AUT4</t>
  </si>
  <si>
    <t>AUT5</t>
  </si>
  <si>
    <t>AUT6</t>
  </si>
  <si>
    <t>AUT7</t>
  </si>
  <si>
    <t>AUT8</t>
  </si>
  <si>
    <t>AUT9</t>
  </si>
  <si>
    <t>AUT10</t>
  </si>
  <si>
    <t>AUT11</t>
  </si>
  <si>
    <t>AUT12</t>
  </si>
  <si>
    <t>AUT13</t>
  </si>
  <si>
    <t>AUT14</t>
  </si>
  <si>
    <t>AUT15</t>
  </si>
  <si>
    <t>AUT16</t>
  </si>
  <si>
    <t>AUT17</t>
  </si>
  <si>
    <t>AUT18</t>
  </si>
  <si>
    <t>AUT19</t>
  </si>
  <si>
    <t>AUT20</t>
  </si>
  <si>
    <t>JOR2</t>
  </si>
  <si>
    <t>JOR3</t>
  </si>
  <si>
    <t>JOR4</t>
  </si>
  <si>
    <t>JOR5</t>
  </si>
  <si>
    <t>JOR6</t>
  </si>
  <si>
    <t>JOR7</t>
  </si>
  <si>
    <t>JOR8</t>
  </si>
  <si>
    <t>JOR9</t>
  </si>
  <si>
    <t>JOR10</t>
  </si>
  <si>
    <t>JOR11</t>
  </si>
  <si>
    <t>JOR12</t>
  </si>
  <si>
    <t>JOR13</t>
  </si>
  <si>
    <t>JOR14</t>
  </si>
  <si>
    <t>JOR15</t>
  </si>
  <si>
    <t>JOR16</t>
  </si>
  <si>
    <t>JOR17</t>
  </si>
  <si>
    <t>JOR18</t>
  </si>
  <si>
    <t>JOR19</t>
  </si>
  <si>
    <t>JOR20</t>
  </si>
  <si>
    <t>POR2</t>
  </si>
  <si>
    <t>POR3</t>
  </si>
  <si>
    <t>POR4</t>
  </si>
  <si>
    <t>POR5</t>
  </si>
  <si>
    <t>POR6</t>
  </si>
  <si>
    <t>POR7</t>
  </si>
  <si>
    <t>POR8</t>
  </si>
  <si>
    <t>POR9</t>
  </si>
  <si>
    <t>POR10</t>
  </si>
  <si>
    <t>POR11</t>
  </si>
  <si>
    <t>POR12</t>
  </si>
  <si>
    <t>POR13</t>
  </si>
  <si>
    <t>POR14</t>
  </si>
  <si>
    <t>POR15</t>
  </si>
  <si>
    <t>POR16</t>
  </si>
  <si>
    <t>POR17</t>
  </si>
  <si>
    <t>POR18</t>
  </si>
  <si>
    <t>POR19</t>
  </si>
  <si>
    <t>POR20</t>
  </si>
  <si>
    <t>COD2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</si>
  <si>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</si>
  <si>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</si>
  <si>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</si>
  <si>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</si>
  <si>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</si>
  <si>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</si>
  <si>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</si>
  <si>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</si>
  <si>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</si>
  <si>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</si>
  <si>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COD13</t>
  </si>
  <si>
    <t>COD14</t>
  </si>
  <si>
    <t>COD15</t>
  </si>
  <si>
    <t>COD16</t>
  </si>
  <si>
    <t>COD17</t>
  </si>
  <si>
    <t>COD18</t>
  </si>
  <si>
    <t>COD19</t>
  </si>
  <si>
    <t>COD20</t>
  </si>
  <si>
    <t>UZB2</t>
  </si>
  <si>
    <t>UZB3</t>
  </si>
  <si>
    <t>UZB4</t>
  </si>
  <si>
    <t>UZB5</t>
  </si>
  <si>
    <t>UZB6</t>
  </si>
  <si>
    <t>UZB7</t>
  </si>
  <si>
    <t>UZB8</t>
  </si>
  <si>
    <t>UZB9</t>
  </si>
  <si>
    <t>UZB10</t>
  </si>
  <si>
    <t>UZB11</t>
  </si>
  <si>
    <t>UZB12</t>
  </si>
  <si>
    <t>UZB13</t>
  </si>
  <si>
    <t>UZB14</t>
  </si>
  <si>
    <t>UZB15</t>
  </si>
  <si>
    <t>UZB16</t>
  </si>
  <si>
    <t>UZB17</t>
  </si>
  <si>
    <t>UZB18</t>
  </si>
  <si>
    <t>UZB19</t>
  </si>
  <si>
    <t>UZB20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</si>
  <si>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</si>
  <si>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</si>
  <si>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</si>
  <si>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</si>
  <si>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</si>
  <si>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</si>
  <si>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</si>
  <si>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</si>
  <si>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</si>
  <si>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</si>
  <si>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</si>
  <si>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</si>
  <si>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</si>
  <si>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</si>
  <si>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</si>
  <si>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</si>
  <si>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</si>
  <si>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</si>
  <si>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</si>
  <si>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ENG2</t>
  </si>
  <si>
    <t>ENG3</t>
  </si>
  <si>
    <t>ENG4</t>
  </si>
  <si>
    <t>ENG5</t>
  </si>
  <si>
    <t>ENG6</t>
  </si>
  <si>
    <t>ENG7</t>
  </si>
  <si>
    <t>ENG8</t>
  </si>
  <si>
    <t>ENG9</t>
  </si>
  <si>
    <t>ENG10</t>
  </si>
  <si>
    <t>ENG11</t>
  </si>
  <si>
    <t>ENG12</t>
  </si>
  <si>
    <t>ENG13</t>
  </si>
  <si>
    <t>ENG14</t>
  </si>
  <si>
    <t>ENG15</t>
  </si>
  <si>
    <t>ENG16</t>
  </si>
  <si>
    <t>ENG17</t>
  </si>
  <si>
    <t>ENG18</t>
  </si>
  <si>
    <t>ENG19</t>
  </si>
  <si>
    <t>ENG20</t>
  </si>
  <si>
    <t>CRO2</t>
  </si>
  <si>
    <t>CRO3</t>
  </si>
  <si>
    <t>CRO4</t>
  </si>
  <si>
    <t>CRO5</t>
  </si>
  <si>
    <t>CRO6</t>
  </si>
  <si>
    <t>CRO7</t>
  </si>
  <si>
    <t>CRO8</t>
  </si>
  <si>
    <t>CRO9</t>
  </si>
  <si>
    <t>CRO10</t>
  </si>
  <si>
    <t>CRO11</t>
  </si>
  <si>
    <t>CRO12</t>
  </si>
  <si>
    <t>CRO13</t>
  </si>
  <si>
    <t>CRO14</t>
  </si>
  <si>
    <t>CRO15</t>
  </si>
  <si>
    <t>CRO16</t>
  </si>
  <si>
    <t>CRO17</t>
  </si>
  <si>
    <t>CRO18</t>
  </si>
  <si>
    <t>CRO19</t>
  </si>
  <si>
    <t>CRO20</t>
  </si>
  <si>
    <t>GHA2</t>
  </si>
  <si>
    <t>GHA3</t>
  </si>
  <si>
    <t>GHA4</t>
  </si>
  <si>
    <t>GHA5</t>
  </si>
  <si>
    <t>GHA6</t>
  </si>
  <si>
    <t>GHA7</t>
  </si>
  <si>
    <t>GHA8</t>
  </si>
  <si>
    <t>GHA9</t>
  </si>
  <si>
    <t>GHA10</t>
  </si>
  <si>
    <t>GHA11</t>
  </si>
  <si>
    <t>GHA12</t>
  </si>
  <si>
    <t>GHA13</t>
  </si>
  <si>
    <t>GHA14</t>
  </si>
  <si>
    <t>GHA15</t>
  </si>
  <si>
    <t>GHA16</t>
  </si>
  <si>
    <t>GHA17</t>
  </si>
  <si>
    <t>GHA18</t>
  </si>
  <si>
    <t>GHA19</t>
  </si>
  <si>
    <t>GHA20</t>
  </si>
  <si>
    <t>PAN2</t>
  </si>
  <si>
    <t>PAN3</t>
  </si>
  <si>
    <t>PAN4</t>
  </si>
  <si>
    <t>PAN5</t>
  </si>
  <si>
    <t>PAN6</t>
  </si>
  <si>
    <t>PAN7</t>
  </si>
  <si>
    <t>PAN8</t>
  </si>
  <si>
    <t>PAN9</t>
  </si>
  <si>
    <t>PAN10</t>
  </si>
  <si>
    <t>PAN11</t>
  </si>
  <si>
    <t>PAN12</t>
  </si>
  <si>
    <t>PAN13</t>
  </si>
  <si>
    <t>PAN14</t>
  </si>
  <si>
    <t>PAN15</t>
  </si>
  <si>
    <t>PAN16</t>
  </si>
  <si>
    <t>PAN17</t>
  </si>
  <si>
    <t>PAN18</t>
  </si>
  <si>
    <t>PAN19</t>
  </si>
  <si>
    <t>PAN20</t>
  </si>
  <si>
    <t>SUDÁFRICA</t>
  </si>
  <si>
    <t>COREA DEL SUR</t>
  </si>
  <si>
    <t>CHEQUIA</t>
  </si>
  <si>
    <t>CANADÁ</t>
  </si>
  <si>
    <t>BOSNIA Y HERZEGOVINA</t>
  </si>
  <si>
    <t>CATAR</t>
  </si>
  <si>
    <t>SUIZA</t>
  </si>
  <si>
    <t>BRASIL</t>
  </si>
  <si>
    <t>MARRUECOS</t>
  </si>
  <si>
    <t>HAITÍ</t>
  </si>
  <si>
    <t>ESCOCIA</t>
  </si>
  <si>
    <t>ESTADOS UNIDOS</t>
  </si>
  <si>
    <t>PARAGUAY</t>
  </si>
  <si>
    <t>AUSTRALIA</t>
  </si>
  <si>
    <t>TURQUÍA</t>
  </si>
  <si>
    <t>ALEMANIA</t>
  </si>
  <si>
    <t>CURAZAO</t>
  </si>
  <si>
    <t>COSTA DE MARFIL</t>
  </si>
  <si>
    <t>ECUADOR</t>
  </si>
  <si>
    <t>PAÍSES BAJOS</t>
  </si>
  <si>
    <t>JAPÓN</t>
  </si>
  <si>
    <t>SUECIA</t>
  </si>
  <si>
    <t>TÚNEZ</t>
  </si>
  <si>
    <t>BÉLGICA</t>
  </si>
  <si>
    <t>EGIPTO</t>
  </si>
  <si>
    <t>IRÁN</t>
  </si>
  <si>
    <t>NUEVA ZELANDA</t>
  </si>
  <si>
    <t>ESPAÑA</t>
  </si>
  <si>
    <t>CABO VERDE</t>
  </si>
  <si>
    <t>ARABIA SAUDITA</t>
  </si>
  <si>
    <t>URUGUAY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</si>
  <si>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</si>
  <si>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</si>
  <si>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</si>
  <si>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</si>
  <si>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</si>
  <si>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</si>
  <si>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</si>
  <si>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</si>
  <si>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PORTUGAL</t>
  </si>
  <si>
    <t>REPÚBLICA DEMOCRÁTICA DEL CONGO</t>
  </si>
  <si>
    <t>UZBEKISTÁN</t>
  </si>
  <si>
    <t>COLOMBIA</t>
  </si>
  <si>
    <t>INGLATERRA</t>
  </si>
  <si>
    <t>CROACIA</t>
  </si>
  <si>
    <t>GHANA</t>
  </si>
  <si>
    <t>PANAMÁ</t>
  </si>
  <si>
    <t>Planilla realizada por: IDEASPARAIMPRIMIR.COM</t>
  </si>
  <si>
    <t>INSTRUCCIONES:
Marcar con los número 1 (Uno) y 0 (Cero)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</si>
</sst>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4">
    <font>
      <sz val="10"/>
      <color rgb="FF000000"/>
      <name val="Arial"/>
      <scheme val="minor"/>
    </font>
    <font>
      <b/>
      <sz val="10"/>
      <color theme="1"/>
      <name val="Oswald"/>
    </font>
    <font>
      <sz val="10"/>
      <color theme="1"/>
      <name val="Oswald"/>
    </font>
    <font>
      <sz val="10"/>
      <color theme="1"/>
      <name val="Arial"/>
      <scheme val="minor"/>
    </font>
    <font>
      <b/>
      <sz val="14"/>
      <color theme="1"/>
      <name val="Oswald"/>
    </font>
    <font>
      <sz val="10"/>
      <color rgb="FF999999"/>
      <name val="Roboto"/>
    </font>
    <font>
      <u/>
      <sz val="17"/>
      <color rgb="FF0000FF"/>
      <name val="Oswald"/>
    </font>
    <font>
      <u/>
      <sz val="10"/>
      <color theme="10"/>
      <name val="Arial"/>
      <scheme val="minor"/>
    </font>
    <font>
      <b/>
      <sz val="14"/>
      <color theme="1"/>
      <name val="Thaoma"/>
    </font>
    <font>
      <sz val="10"/>
      <color rgb="FF999999"/>
      <name val="Thaoma"/>
    </font>
    <font>
      <sz val="12"/>
      <color theme="2" tint="-0.14999847407452621"/>
      <name val="Thaoma"/>
    </font>
    <font>
      <b/>
      <sz val="12"/>
      <color theme="1"/>
      <name val="Thaoma"/>
    </font>
    <font>
      <b/>
      <sz val="10"/>
      <name val="Thaoma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u/>
      <sz val="10"/>
      <color theme="10"/>
      <name val="Arial"/>
      <family val="2"/>
      <scheme val="minor"/>
    </font>
    <font>
      <b/>
      <sz val="11"/>
      <color theme="1"/>
      <name val="Thaoma"/>
    </font>
    <font>
      <sz val="8"/>
      <name val="Arial"/>
      <family val="2"/>
      <scheme val="minor"/>
    </font>
    <font>
      <sz val="10"/>
      <color theme="1"/>
      <name val="Tahoma"/>
      <family val="2"/>
    </font>
    <font>
      <b/>
      <sz val="12"/>
      <color rgb="FF0070C0"/>
      <name val="Arial"/>
      <family val="2"/>
      <scheme val="minor"/>
    </font>
    <font>
      <b/>
      <sz val="12"/>
      <color theme="1"/>
      <name val="Tahoma"/>
      <family val="2"/>
    </font>
    <font>
      <b/>
      <u/>
      <sz val="12"/>
      <color theme="8" tint="0.39997558519241921"/>
      <name val="Arial"/>
      <family val="2"/>
      <scheme val="minor"/>
    </font>
    <font>
      <b/>
      <sz val="11"/>
      <color theme="1"/>
      <name val="Tahoma"/>
      <family val="2"/>
    </font>
    <font>
      <b/>
      <sz val="16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3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FFFFFF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 style="thin">
        <color rgb="FFFFFFFF"/>
      </bottom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7">
    <xf numFmtId="0" fontId="0" fillId="0" borderId="0" xfId="0"/>
    <xf numFmtId="0" fontId="3" fillId="0" borderId="3" xfId="0" applyFont="1" applyBorder="1"/>
    <xf numFmtId="0" fontId="3" fillId="0" borderId="2" xfId="0" applyFont="1" applyBorder="1"/>
    <xf numFmtId="0" fontId="3" fillId="0" borderId="9" xfId="0" applyFont="1" applyBorder="1"/>
    <xf numFmtId="0" fontId="3" fillId="0" borderId="10" xfId="0" applyFont="1" applyBorder="1"/>
    <xf numFmtId="1" fontId="0" fillId="0" borderId="0" xfId="0" applyNumberFormat="1"/>
    <xf numFmtId="0" fontId="2" fillId="0" borderId="1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0" fillId="0" borderId="20" xfId="0" applyBorder="1"/>
    <xf numFmtId="0" fontId="0" fillId="0" borderId="21" xfId="0" applyBorder="1"/>
    <xf numFmtId="0" fontId="3" fillId="0" borderId="0" xfId="0" applyFont="1" applyProtection="1">
      <protection locked="0"/>
    </xf>
    <xf numFmtId="0" fontId="3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7" fillId="0" borderId="25" xfId="1" applyBorder="1" applyAlignment="1" applyProtection="1">
      <alignment horizontal="center" vertical="top"/>
    </xf>
    <xf numFmtId="0" fontId="7" fillId="0" borderId="13" xfId="1" applyBorder="1" applyAlignment="1" applyProtection="1">
      <alignment horizontal="center" vertical="top"/>
    </xf>
    <xf numFmtId="0" fontId="15" fillId="0" borderId="22" xfId="1" applyFont="1" applyBorder="1" applyAlignment="1" applyProtection="1">
      <alignment horizontal="center" vertical="top"/>
    </xf>
    <xf numFmtId="0" fontId="7" fillId="0" borderId="23" xfId="1" applyBorder="1" applyAlignment="1" applyProtection="1">
      <alignment horizontal="center" vertical="top"/>
    </xf>
    <xf numFmtId="0" fontId="7" fillId="0" borderId="24" xfId="1" applyBorder="1" applyAlignment="1" applyProtection="1">
      <alignment horizontal="center" vertical="top"/>
    </xf>
    <xf numFmtId="0" fontId="14" fillId="0" borderId="26" xfId="0" applyFont="1" applyBorder="1" applyAlignment="1" applyProtection="1">
      <alignment horizontal="left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31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33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31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31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1" xfId="0" applyBorder="1"/>
    <xf numFmtId="0" fontId="14" fillId="0" borderId="42" xfId="0" applyFont="1" applyBorder="1" applyAlignment="1" applyProtection="1">
      <alignment horizontal="left" vertical="center"/>
      <protection locked="0"/>
    </xf>
    <xf numFmtId="0" fontId="21" fillId="2" borderId="28" xfId="1" applyFont="1" applyFill="1" applyBorder="1" applyAlignment="1" applyProtection="1">
      <alignment horizontal="center" vertical="center" wrapText="1"/>
    </xf>
    <xf numFmtId="0" fontId="21" fillId="2" borderId="29" xfId="1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/>
    </xf>
    <xf numFmtId="0" fontId="11" fillId="0" borderId="6" xfId="0" applyFont="1" applyBorder="1" applyAlignment="1" applyProtection="1">
      <alignment horizontal="left" vertical="center"/>
    </xf>
    <xf numFmtId="0" fontId="9" fillId="0" borderId="7" xfId="0" applyFont="1" applyBorder="1" applyAlignment="1" applyProtection="1">
      <alignment horizontal="left" vertical="top"/>
    </xf>
    <xf numFmtId="0" fontId="11" fillId="0" borderId="6" xfId="0" applyFont="1" applyBorder="1" applyAlignment="1" applyProtection="1">
      <alignment horizontal="left" vertical="center" wrapText="1"/>
    </xf>
    <xf numFmtId="0" fontId="11" fillId="0" borderId="7" xfId="0" applyFont="1" applyBorder="1" applyAlignment="1" applyProtection="1">
      <alignment horizontal="left" vertical="center" wrapText="1"/>
    </xf>
    <xf numFmtId="164" fontId="16" fillId="0" borderId="30" xfId="0" applyNumberFormat="1" applyFont="1" applyBorder="1" applyAlignment="1" applyProtection="1">
      <alignment horizontal="center" vertical="center"/>
    </xf>
    <xf numFmtId="0" fontId="16" fillId="0" borderId="30" xfId="0" applyFont="1" applyBorder="1" applyAlignment="1" applyProtection="1">
      <alignment horizontal="center" vertical="center"/>
    </xf>
    <xf numFmtId="0" fontId="11" fillId="0" borderId="35" xfId="0" applyFont="1" applyBorder="1" applyAlignment="1" applyProtection="1">
      <alignment horizontal="center" vertical="center"/>
    </xf>
    <xf numFmtId="0" fontId="0" fillId="0" borderId="35" xfId="0" applyBorder="1" applyProtection="1"/>
    <xf numFmtId="0" fontId="3" fillId="0" borderId="36" xfId="0" applyFont="1" applyBorder="1" applyProtection="1"/>
    <xf numFmtId="9" fontId="8" fillId="0" borderId="6" xfId="0" applyNumberFormat="1" applyFont="1" applyBorder="1" applyAlignment="1" applyProtection="1">
      <alignment horizontal="center" vertical="center"/>
    </xf>
    <xf numFmtId="0" fontId="10" fillId="0" borderId="26" xfId="0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26" xfId="0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6" xfId="0" applyBorder="1" applyProtection="1"/>
    <xf numFmtId="0" fontId="3" fillId="0" borderId="38" xfId="0" applyFont="1" applyBorder="1" applyProtection="1"/>
    <xf numFmtId="0" fontId="12" fillId="0" borderId="7" xfId="0" applyFont="1" applyBorder="1" applyAlignment="1" applyProtection="1">
      <alignment horizontal="center" vertical="center"/>
    </xf>
    <xf numFmtId="0" fontId="16" fillId="0" borderId="32" xfId="0" applyFont="1" applyBorder="1" applyAlignment="1" applyProtection="1">
      <alignment horizontal="center" vertical="center"/>
    </xf>
    <xf numFmtId="49" fontId="16" fillId="0" borderId="30" xfId="0" applyNumberFormat="1" applyFont="1" applyBorder="1" applyAlignment="1" applyProtection="1">
      <alignment horizontal="center" vertical="center"/>
    </xf>
    <xf numFmtId="0" fontId="16" fillId="0" borderId="34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16" fillId="0" borderId="36" xfId="0" applyFont="1" applyBorder="1" applyAlignment="1" applyProtection="1">
      <alignment horizontal="center" vertical="center"/>
    </xf>
    <xf numFmtId="0" fontId="10" fillId="0" borderId="37" xfId="0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39" xfId="0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1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16" fillId="0" borderId="39" xfId="0" applyFont="1" applyBorder="1" applyAlignment="1" applyProtection="1">
      <alignment horizontal="center" vertical="center"/>
    </xf>
    <xf numFmtId="0" fontId="10" fillId="0" borderId="38" xfId="0" applyFont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6" xfId="0" applyFont="1" applyBorder="1" applyAlignment="1" applyProtection="1">
      <alignment horizontal="right" vertical="center"/>
    </xf>
    <xf numFmtId="0" fontId="6" fillId="0" borderId="17" xfId="0" applyFont="1" applyBorder="1" applyAlignment="1" applyProtection="1">
      <alignment horizontal="right" vertical="center"/>
    </xf>
    <xf numFmtId="0" fontId="6" fillId="0" borderId="18" xfId="0" applyFont="1" applyBorder="1" applyAlignment="1" applyProtection="1">
      <alignment horizontal="right" vertical="center"/>
    </xf>
    <xf numFmtId="0" fontId="19" fillId="0" borderId="40" xfId="1" applyFont="1" applyBorder="1" applyAlignment="1" applyProtection="1">
      <alignment vertical="center" wrapText="1"/>
    </xf>
    <xf numFmtId="0" fontId="22" fillId="5" borderId="27" xfId="0" applyFont="1" applyFill="1" applyBorder="1" applyAlignment="1" applyProtection="1">
      <alignment horizontal="left" vertical="center" wrapText="1"/>
    </xf>
    <xf numFmtId="0" fontId="13" fillId="2" borderId="0" xfId="0" applyFont="1" applyFill="1" applyBorder="1" applyAlignment="1" applyProtection="1">
      <alignment vertical="center" wrapText="1"/>
    </xf>
    <xf numFmtId="0" fontId="18" fillId="0" borderId="27" xfId="0" applyFont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vertical="center"/>
    </xf>
    <xf numFmtId="0" fontId="22" fillId="3" borderId="27" xfId="0" applyFont="1" applyFill="1" applyBorder="1" applyAlignment="1" applyProtection="1">
      <alignment horizontal="center" vertical="center"/>
    </xf>
    <xf numFmtId="0" fontId="23" fillId="3" borderId="27" xfId="0" applyFont="1" applyFill="1" applyBorder="1" applyAlignment="1" applyProtection="1">
      <alignment horizontal="center" vertical="center"/>
    </xf>
    <xf numFmtId="0" fontId="13" fillId="4" borderId="27" xfId="0" applyFont="1" applyFill="1" applyBorder="1" applyAlignment="1" applyProtection="1">
      <alignment horizontal="center" vertical="center"/>
    </xf>
    <xf numFmtId="0" fontId="20" fillId="4" borderId="27" xfId="0" applyFont="1" applyFill="1" applyBorder="1" applyAlignment="1" applyProtection="1">
      <alignment horizontal="center" vertical="center"/>
    </xf>
    <xf numFmtId="0" fontId="13" fillId="2" borderId="0" xfId="0" applyFont="1" applyFill="1" applyAlignment="1" applyProtection="1">
      <alignment vertical="center"/>
    </xf>
    <xf numFmtId="0" fontId="3" fillId="0" borderId="1" xfId="0" applyFont="1" applyBorder="1" applyProtection="1"/>
    <xf numFmtId="0" fontId="3" fillId="0" borderId="2" xfId="0" applyFont="1" applyBorder="1" applyProtection="1"/>
    <xf numFmtId="0" fontId="3" fillId="0" borderId="9" xfId="0" applyFont="1" applyBorder="1" applyProtection="1"/>
    <xf numFmtId="0" fontId="3" fillId="0" borderId="13" xfId="0" applyFont="1" applyBorder="1" applyProtection="1"/>
    <xf numFmtId="0" fontId="3" fillId="0" borderId="13" xfId="0" applyFont="1" applyBorder="1" applyAlignment="1" applyProtection="1">
      <alignment wrapText="1"/>
    </xf>
    <xf numFmtId="0" fontId="13" fillId="2" borderId="11" xfId="0" applyFont="1" applyFill="1" applyBorder="1" applyAlignment="1" applyProtection="1">
      <alignment horizontal="left" vertical="center"/>
    </xf>
    <xf numFmtId="0" fontId="13" fillId="2" borderId="0" xfId="0" applyFont="1" applyFill="1" applyAlignment="1" applyProtection="1">
      <alignment horizontal="left" vertical="center"/>
    </xf>
    <xf numFmtId="0" fontId="14" fillId="2" borderId="11" xfId="0" applyFont="1" applyFill="1" applyBorder="1" applyAlignment="1" applyProtection="1">
      <alignment horizontal="left" vertical="center"/>
    </xf>
    <xf numFmtId="0" fontId="14" fillId="2" borderId="0" xfId="0" applyFont="1" applyFill="1" applyAlignment="1" applyProtection="1">
      <alignment horizontal="left" vertical="center"/>
    </xf>
    <xf numFmtId="0" fontId="3" fillId="0" borderId="3" xfId="0" applyFont="1" applyBorder="1" applyProtection="1"/>
    <xf numFmtId="0" fontId="3" fillId="0" borderId="3" xfId="0" applyFont="1" applyBorder="1" applyAlignment="1" applyProtection="1">
      <alignment horizontal="center" vertical="center"/>
    </xf>
    <xf numFmtId="0" fontId="0" fillId="0" borderId="0" xfId="0" applyProtection="1"/>
    <xf numFmtId="0" fontId="4" fillId="0" borderId="5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5" fillId="0" borderId="19" xfId="0" applyFont="1" applyBorder="1" applyAlignment="1" applyProtection="1">
      <alignment horizontal="left" vertical="center"/>
    </xf>
    <xf numFmtId="0" fontId="3" fillId="0" borderId="9" xfId="0" applyFont="1" applyBorder="1" applyAlignment="1" applyProtection="1">
      <alignment horizontal="center" vertical="center"/>
    </xf>
  </cellXfs>
  <cellStyles count="2">
    <cellStyle name="Hipervínculo" xfId="1" builtinId="8"/>
    <cellStyle name="Normal" xfId="0" builtinId="0"/>
  </cellStyles>
  <dxfs count="5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ideasparaimprimir.com/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1925" cy="28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36552</xdr:rowOff>
    </xdr:from>
    <xdr:to>
      <xdr:col>22</xdr:col>
      <xdr:colOff>1724024</xdr:colOff>
      <xdr:row>3</xdr:row>
      <xdr:rowOff>1427201</xdr:rowOff>
    </xdr:to>
    <xdr:pic>
      <xdr:nvPicPr>
        <xdr:cNvPr id="4" name="Imagen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B1A1EF-2295-F3A2-B739-49416090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6552"/>
          <a:ext cx="15039974" cy="193357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deasparaimprimir.com/" TargetMode="External"/><Relationship Id="rId1" Type="http://schemas.openxmlformats.org/officeDocument/2006/relationships/hyperlink" Target="https://ideasparaimprimir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</sheetPr>
  <dimension ref="A1:AB1038"/>
  <sheetViews>
    <sheetView tabSelected="1" workbookViewId="0">
      <selection activeCell="C9" sqref="C9"/>
    </sheetView>
  </sheetViews>
  <sheetFormatPr baseColWidth="10" defaultColWidth="12.5703125" defaultRowHeight="15.75" customHeight="1"/>
  <cols>
    <col min="1" max="1" width="2.140625" customWidth="1"/>
    <col min="2" max="2" width="23.28515625" customWidth="1"/>
    <col min="3" max="22" width="8.7109375" customWidth="1"/>
    <col min="23" max="23" width="26.42578125" customWidth="1"/>
  </cols>
  <sheetData>
    <row r="1" spans="1:28" ht="14.2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70"/>
      <c r="Y1" s="70"/>
      <c r="Z1" s="70"/>
      <c r="AA1" s="71"/>
    </row>
    <row r="2" spans="1:28" ht="14.2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70"/>
      <c r="Y2" s="70"/>
      <c r="Z2" s="70"/>
      <c r="AA2" s="72"/>
    </row>
    <row r="3" spans="1:28" ht="14.2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70"/>
      <c r="Y3" s="70"/>
      <c r="Z3" s="70"/>
      <c r="AA3" s="72"/>
    </row>
    <row r="4" spans="1:28" ht="133.5" customHeight="1" thickBo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70"/>
      <c r="Y4" s="70"/>
      <c r="Z4" s="70"/>
      <c r="AA4" s="72"/>
    </row>
    <row r="5" spans="1:28" ht="31.5" customHeight="1" thickBot="1">
      <c r="A5" s="25"/>
      <c r="B5" s="61"/>
      <c r="C5" s="62" t="s">
        <v>1051</v>
      </c>
      <c r="D5" s="62"/>
      <c r="E5" s="62"/>
      <c r="F5" s="62"/>
      <c r="G5" s="62"/>
      <c r="H5" s="62"/>
      <c r="I5" s="63"/>
      <c r="J5" s="66" t="s">
        <v>4</v>
      </c>
      <c r="K5" s="66"/>
      <c r="L5" s="66"/>
      <c r="M5" s="66"/>
      <c r="N5" s="66"/>
      <c r="O5" s="66"/>
      <c r="P5" s="66"/>
      <c r="Q5" s="66"/>
      <c r="R5" s="67" t="str">
        <f>IF(Q6/M6=1,"100%",ROUNDDOWN(Q6/M6*100,0)&amp;"%")</f>
        <v>0%</v>
      </c>
      <c r="S5" s="67"/>
      <c r="T5" s="67"/>
      <c r="U5" s="67"/>
      <c r="V5" s="27" t="s">
        <v>1050</v>
      </c>
      <c r="W5" s="28"/>
      <c r="X5" s="14"/>
      <c r="Y5" s="15"/>
      <c r="Z5" s="15"/>
      <c r="AA5" s="73"/>
    </row>
    <row r="6" spans="1:28" ht="31.5" customHeight="1" thickBot="1">
      <c r="A6" s="25"/>
      <c r="B6" s="61"/>
      <c r="C6" s="64" t="s">
        <v>6</v>
      </c>
      <c r="D6" s="64"/>
      <c r="E6" s="64"/>
      <c r="F6" s="64" t="s">
        <v>5</v>
      </c>
      <c r="G6" s="64"/>
      <c r="H6" s="64"/>
      <c r="I6" s="65"/>
      <c r="J6" s="68" t="s">
        <v>0</v>
      </c>
      <c r="K6" s="68"/>
      <c r="L6" s="68"/>
      <c r="M6" s="69">
        <v>980</v>
      </c>
      <c r="N6" s="68" t="s">
        <v>1</v>
      </c>
      <c r="O6" s="68"/>
      <c r="P6" s="68"/>
      <c r="Q6" s="69">
        <f>COUNTIF(C9:V107,1)</f>
        <v>0</v>
      </c>
      <c r="R6" s="68" t="s">
        <v>2</v>
      </c>
      <c r="S6" s="68"/>
      <c r="T6" s="68"/>
      <c r="U6" s="69">
        <f>+M6-Q6</f>
        <v>980</v>
      </c>
      <c r="V6" s="27"/>
      <c r="W6" s="28"/>
      <c r="X6" s="14"/>
      <c r="Y6" s="15"/>
      <c r="Z6" s="15"/>
      <c r="AA6" s="73"/>
    </row>
    <row r="7" spans="1:28" ht="15" thickBot="1">
      <c r="A7" s="6"/>
      <c r="B7" s="26"/>
      <c r="C7" s="19"/>
      <c r="D7" s="19"/>
      <c r="E7" s="19"/>
      <c r="F7" s="13"/>
      <c r="G7" s="7"/>
      <c r="H7" s="7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  <c r="W7" s="12"/>
      <c r="X7" s="74"/>
      <c r="Y7" s="75"/>
      <c r="Z7" s="74"/>
      <c r="AA7" s="73"/>
    </row>
    <row r="8" spans="1:28" ht="24.75" customHeight="1">
      <c r="A8" s="83"/>
      <c r="B8" s="30" t="s">
        <v>7</v>
      </c>
      <c r="C8" s="34">
        <v>0</v>
      </c>
      <c r="D8" s="35" t="s">
        <v>8</v>
      </c>
      <c r="E8" s="35" t="s">
        <v>9</v>
      </c>
      <c r="F8" s="35" t="s">
        <v>10</v>
      </c>
      <c r="G8" s="35" t="s">
        <v>11</v>
      </c>
      <c r="H8" s="35" t="s">
        <v>12</v>
      </c>
      <c r="I8" s="35" t="s">
        <v>13</v>
      </c>
      <c r="J8" s="35" t="s">
        <v>14</v>
      </c>
      <c r="K8" s="35" t="s">
        <v>15</v>
      </c>
      <c r="L8" s="36"/>
      <c r="M8" s="36"/>
      <c r="N8" s="36"/>
      <c r="O8" s="36"/>
      <c r="P8" s="36"/>
      <c r="Q8" s="36"/>
      <c r="R8" s="36"/>
      <c r="S8" s="36"/>
      <c r="T8" s="36"/>
      <c r="U8" s="37"/>
      <c r="V8" s="38"/>
      <c r="W8" s="39">
        <f>AVERAGE(C9:T9)</f>
        <v>0</v>
      </c>
      <c r="X8" s="76"/>
      <c r="Y8" s="77"/>
      <c r="Z8" s="77"/>
      <c r="AA8" s="77"/>
      <c r="AB8" s="5"/>
    </row>
    <row r="9" spans="1:28" ht="24.75" customHeight="1" thickBot="1">
      <c r="A9" s="83"/>
      <c r="B9" s="31"/>
      <c r="C9" s="20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40"/>
      <c r="M9" s="40"/>
      <c r="N9" s="40"/>
      <c r="O9" s="40"/>
      <c r="P9" s="40"/>
      <c r="Q9" s="40"/>
      <c r="R9" s="40"/>
      <c r="S9" s="40"/>
      <c r="T9" s="41"/>
      <c r="U9" s="42"/>
      <c r="V9" s="43"/>
      <c r="W9" s="44"/>
      <c r="X9" s="76"/>
      <c r="Y9" s="77"/>
      <c r="Z9" s="77"/>
      <c r="AA9" s="77"/>
    </row>
    <row r="10" spans="1:28" ht="24.75" customHeight="1">
      <c r="A10" s="83"/>
      <c r="B10" s="30" t="s">
        <v>16</v>
      </c>
      <c r="C10" s="35" t="s">
        <v>17</v>
      </c>
      <c r="D10" s="35" t="s">
        <v>18</v>
      </c>
      <c r="E10" s="35" t="s">
        <v>19</v>
      </c>
      <c r="F10" s="35" t="s">
        <v>20</v>
      </c>
      <c r="G10" s="35" t="s">
        <v>21</v>
      </c>
      <c r="H10" s="35" t="s">
        <v>22</v>
      </c>
      <c r="I10" s="35" t="s">
        <v>23</v>
      </c>
      <c r="J10" s="35" t="s">
        <v>24</v>
      </c>
      <c r="K10" s="35" t="s">
        <v>25</v>
      </c>
      <c r="L10" s="45" t="s">
        <v>26</v>
      </c>
      <c r="M10" s="35" t="s">
        <v>27</v>
      </c>
      <c r="N10" s="35" t="s">
        <v>28</v>
      </c>
      <c r="O10" s="35" t="s">
        <v>29</v>
      </c>
      <c r="P10" s="35" t="s">
        <v>30</v>
      </c>
      <c r="Q10" s="35" t="s">
        <v>31</v>
      </c>
      <c r="R10" s="35" t="s">
        <v>32</v>
      </c>
      <c r="S10" s="35" t="s">
        <v>33</v>
      </c>
      <c r="T10" s="35" t="s">
        <v>34</v>
      </c>
      <c r="U10" s="35" t="s">
        <v>35</v>
      </c>
      <c r="V10" s="35" t="s">
        <v>36</v>
      </c>
      <c r="W10" s="39">
        <f>AVERAGE(C11:V11)</f>
        <v>0</v>
      </c>
      <c r="X10" s="78"/>
      <c r="Y10" s="79"/>
      <c r="Z10" s="79"/>
      <c r="AA10" s="79"/>
    </row>
    <row r="11" spans="1:28" ht="24.75" customHeight="1" thickBot="1">
      <c r="A11" s="84"/>
      <c r="B11" s="31"/>
      <c r="C11" s="20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3">
        <v>0</v>
      </c>
      <c r="U11" s="23">
        <v>0</v>
      </c>
      <c r="V11" s="24">
        <v>0</v>
      </c>
      <c r="W11" s="44"/>
      <c r="X11" s="16"/>
      <c r="Y11" s="17"/>
      <c r="Z11" s="17"/>
      <c r="AA11" s="18"/>
    </row>
    <row r="12" spans="1:28" ht="24.75" customHeight="1">
      <c r="A12" s="85"/>
      <c r="B12" s="30" t="s">
        <v>1003</v>
      </c>
      <c r="C12" s="35" t="s">
        <v>38</v>
      </c>
      <c r="D12" s="35" t="s">
        <v>39</v>
      </c>
      <c r="E12" s="35" t="s">
        <v>40</v>
      </c>
      <c r="F12" s="35" t="s">
        <v>41</v>
      </c>
      <c r="G12" s="35" t="s">
        <v>42</v>
      </c>
      <c r="H12" s="35" t="s">
        <v>43</v>
      </c>
      <c r="I12" s="35" t="s">
        <v>44</v>
      </c>
      <c r="J12" s="35" t="s">
        <v>45</v>
      </c>
      <c r="K12" s="35" t="s">
        <v>46</v>
      </c>
      <c r="L12" s="35" t="s">
        <v>47</v>
      </c>
      <c r="M12" s="35" t="s">
        <v>48</v>
      </c>
      <c r="N12" s="35" t="s">
        <v>49</v>
      </c>
      <c r="O12" s="35" t="s">
        <v>50</v>
      </c>
      <c r="P12" s="35" t="s">
        <v>51</v>
      </c>
      <c r="Q12" s="35" t="s">
        <v>52</v>
      </c>
      <c r="R12" s="35" t="s">
        <v>53</v>
      </c>
      <c r="S12" s="35" t="s">
        <v>54</v>
      </c>
      <c r="T12" s="35" t="s">
        <v>55</v>
      </c>
      <c r="U12" s="35" t="s">
        <v>56</v>
      </c>
      <c r="V12" s="35" t="s">
        <v>57</v>
      </c>
      <c r="W12" s="39">
        <f>AVERAGE(C13:V13)</f>
        <v>0</v>
      </c>
      <c r="X12" s="80"/>
      <c r="Y12" s="80"/>
      <c r="Z12" s="80"/>
      <c r="AA12" s="80"/>
    </row>
    <row r="13" spans="1:28" ht="24.75" customHeight="1" thickBot="1">
      <c r="A13" s="85"/>
      <c r="B13" s="31"/>
      <c r="C13" s="20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3">
        <v>0</v>
      </c>
      <c r="U13" s="23">
        <v>0</v>
      </c>
      <c r="V13" s="24">
        <v>0</v>
      </c>
      <c r="W13" s="44"/>
      <c r="X13" s="80"/>
      <c r="Y13" s="80"/>
      <c r="Z13" s="80"/>
      <c r="AA13" s="80"/>
    </row>
    <row r="14" spans="1:28" ht="24.75" customHeight="1">
      <c r="A14" s="85"/>
      <c r="B14" s="30" t="s">
        <v>1004</v>
      </c>
      <c r="C14" s="35" t="s">
        <v>58</v>
      </c>
      <c r="D14" s="35" t="s">
        <v>59</v>
      </c>
      <c r="E14" s="35" t="s">
        <v>60</v>
      </c>
      <c r="F14" s="35" t="s">
        <v>61</v>
      </c>
      <c r="G14" s="35" t="s">
        <v>62</v>
      </c>
      <c r="H14" s="35" t="s">
        <v>63</v>
      </c>
      <c r="I14" s="35" t="s">
        <v>64</v>
      </c>
      <c r="J14" s="35" t="s">
        <v>65</v>
      </c>
      <c r="K14" s="35" t="s">
        <v>66</v>
      </c>
      <c r="L14" s="35" t="s">
        <v>67</v>
      </c>
      <c r="M14" s="35" t="s">
        <v>68</v>
      </c>
      <c r="N14" s="35" t="s">
        <v>69</v>
      </c>
      <c r="O14" s="35" t="s">
        <v>70</v>
      </c>
      <c r="P14" s="35" t="s">
        <v>71</v>
      </c>
      <c r="Q14" s="35" t="s">
        <v>72</v>
      </c>
      <c r="R14" s="35" t="s">
        <v>73</v>
      </c>
      <c r="S14" s="35" t="s">
        <v>74</v>
      </c>
      <c r="T14" s="35" t="s">
        <v>75</v>
      </c>
      <c r="U14" s="35" t="s">
        <v>76</v>
      </c>
      <c r="V14" s="35" t="s">
        <v>77</v>
      </c>
      <c r="W14" s="39">
        <f>AVERAGE(C15:V15)</f>
        <v>0</v>
      </c>
      <c r="X14" s="80"/>
      <c r="Y14" s="80"/>
      <c r="Z14" s="80"/>
      <c r="AA14" s="80"/>
    </row>
    <row r="15" spans="1:28" ht="24.75" customHeight="1" thickBot="1">
      <c r="A15" s="85"/>
      <c r="B15" s="31"/>
      <c r="C15" s="20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3">
        <v>0</v>
      </c>
      <c r="U15" s="23">
        <v>0</v>
      </c>
      <c r="V15" s="24">
        <v>0</v>
      </c>
      <c r="W15" s="44"/>
      <c r="X15" s="80"/>
      <c r="Y15" s="80"/>
      <c r="Z15" s="80"/>
      <c r="AA15" s="80"/>
    </row>
    <row r="16" spans="1:28" ht="24.75" customHeight="1">
      <c r="A16" s="85"/>
      <c r="B16" s="30" t="s">
        <v>1005</v>
      </c>
      <c r="C16" s="35" t="s">
        <v>78</v>
      </c>
      <c r="D16" s="35" t="s">
        <v>186</v>
      </c>
      <c r="E16" s="35" t="s">
        <v>187</v>
      </c>
      <c r="F16" s="35" t="s">
        <v>188</v>
      </c>
      <c r="G16" s="35" t="s">
        <v>189</v>
      </c>
      <c r="H16" s="35" t="s">
        <v>190</v>
      </c>
      <c r="I16" s="35" t="s">
        <v>191</v>
      </c>
      <c r="J16" s="35" t="s">
        <v>192</v>
      </c>
      <c r="K16" s="35" t="s">
        <v>193</v>
      </c>
      <c r="L16" s="35" t="s">
        <v>194</v>
      </c>
      <c r="M16" s="35" t="s">
        <v>195</v>
      </c>
      <c r="N16" s="35" t="s">
        <v>196</v>
      </c>
      <c r="O16" s="35" t="s">
        <v>197</v>
      </c>
      <c r="P16" s="35" t="s">
        <v>198</v>
      </c>
      <c r="Q16" s="35" t="s">
        <v>199</v>
      </c>
      <c r="R16" s="35" t="s">
        <v>200</v>
      </c>
      <c r="S16" s="35" t="s">
        <v>201</v>
      </c>
      <c r="T16" s="35" t="s">
        <v>202</v>
      </c>
      <c r="U16" s="35" t="s">
        <v>203</v>
      </c>
      <c r="V16" s="35" t="s">
        <v>204</v>
      </c>
      <c r="W16" s="39">
        <f>AVERAGE(C17:V17)</f>
        <v>0</v>
      </c>
      <c r="X16" s="80"/>
      <c r="Y16" s="80"/>
      <c r="Z16" s="80"/>
      <c r="AA16" s="80"/>
    </row>
    <row r="17" spans="1:27" ht="24.75" customHeight="1" thickBot="1">
      <c r="A17" s="85"/>
      <c r="B17" s="31"/>
      <c r="C17" s="20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3">
        <v>0</v>
      </c>
      <c r="U17" s="23">
        <v>0</v>
      </c>
      <c r="V17" s="24">
        <v>0</v>
      </c>
      <c r="W17" s="44"/>
      <c r="X17" s="80"/>
      <c r="Y17" s="80"/>
      <c r="Z17" s="80"/>
      <c r="AA17" s="80"/>
    </row>
    <row r="18" spans="1:27" ht="24.75" customHeight="1">
      <c r="A18" s="85"/>
      <c r="B18" s="30" t="s">
        <v>1006</v>
      </c>
      <c r="C18" s="35" t="s">
        <v>79</v>
      </c>
      <c r="D18" s="35" t="s">
        <v>205</v>
      </c>
      <c r="E18" s="35" t="s">
        <v>206</v>
      </c>
      <c r="F18" s="35" t="s">
        <v>207</v>
      </c>
      <c r="G18" s="35" t="s">
        <v>208</v>
      </c>
      <c r="H18" s="35" t="s">
        <v>209</v>
      </c>
      <c r="I18" s="35" t="s">
        <v>210</v>
      </c>
      <c r="J18" s="35" t="s">
        <v>211</v>
      </c>
      <c r="K18" s="35" t="s">
        <v>212</v>
      </c>
      <c r="L18" s="35" t="s">
        <v>213</v>
      </c>
      <c r="M18" s="35" t="s">
        <v>214</v>
      </c>
      <c r="N18" s="35" t="s">
        <v>215</v>
      </c>
      <c r="O18" s="35" t="s">
        <v>216</v>
      </c>
      <c r="P18" s="35" t="s">
        <v>217</v>
      </c>
      <c r="Q18" s="35" t="s">
        <v>218</v>
      </c>
      <c r="R18" s="35" t="s">
        <v>219</v>
      </c>
      <c r="S18" s="35" t="s">
        <v>220</v>
      </c>
      <c r="T18" s="35" t="s">
        <v>221</v>
      </c>
      <c r="U18" s="35" t="s">
        <v>222</v>
      </c>
      <c r="V18" s="35" t="s">
        <v>223</v>
      </c>
      <c r="W18" s="39">
        <f>AVERAGE(C19:V19)</f>
        <v>0</v>
      </c>
      <c r="X18" s="80"/>
      <c r="Y18" s="80"/>
      <c r="Z18" s="80"/>
      <c r="AA18" s="80"/>
    </row>
    <row r="19" spans="1:27" ht="24.75" customHeight="1" thickBot="1">
      <c r="A19" s="85"/>
      <c r="B19" s="31"/>
      <c r="C19" s="20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3">
        <v>0</v>
      </c>
      <c r="U19" s="23">
        <v>0</v>
      </c>
      <c r="V19" s="24">
        <v>0</v>
      </c>
      <c r="W19" s="44"/>
      <c r="X19" s="80"/>
      <c r="Y19" s="80"/>
      <c r="Z19" s="80"/>
      <c r="AA19" s="80"/>
    </row>
    <row r="20" spans="1:27" ht="24.75" customHeight="1">
      <c r="A20" s="85"/>
      <c r="B20" s="32" t="s">
        <v>1007</v>
      </c>
      <c r="C20" s="35" t="s">
        <v>80</v>
      </c>
      <c r="D20" s="35" t="s">
        <v>224</v>
      </c>
      <c r="E20" s="35" t="s">
        <v>225</v>
      </c>
      <c r="F20" s="35" t="s">
        <v>226</v>
      </c>
      <c r="G20" s="35" t="s">
        <v>227</v>
      </c>
      <c r="H20" s="35" t="s">
        <v>228</v>
      </c>
      <c r="I20" s="35" t="s">
        <v>229</v>
      </c>
      <c r="J20" s="35" t="s">
        <v>230</v>
      </c>
      <c r="K20" s="35" t="s">
        <v>231</v>
      </c>
      <c r="L20" s="35" t="s">
        <v>232</v>
      </c>
      <c r="M20" s="35" t="s">
        <v>233</v>
      </c>
      <c r="N20" s="35" t="s">
        <v>234</v>
      </c>
      <c r="O20" s="35" t="s">
        <v>235</v>
      </c>
      <c r="P20" s="35" t="s">
        <v>236</v>
      </c>
      <c r="Q20" s="35" t="s">
        <v>237</v>
      </c>
      <c r="R20" s="35" t="s">
        <v>238</v>
      </c>
      <c r="S20" s="35" t="s">
        <v>239</v>
      </c>
      <c r="T20" s="35" t="s">
        <v>240</v>
      </c>
      <c r="U20" s="35" t="s">
        <v>241</v>
      </c>
      <c r="V20" s="35" t="s">
        <v>242</v>
      </c>
      <c r="W20" s="39">
        <f>AVERAGE(C21:V21)</f>
        <v>0</v>
      </c>
      <c r="X20" s="80"/>
      <c r="Y20" s="80"/>
      <c r="Z20" s="80"/>
      <c r="AA20" s="80"/>
    </row>
    <row r="21" spans="1:27" ht="24.75" customHeight="1" thickBot="1">
      <c r="A21" s="85"/>
      <c r="B21" s="33"/>
      <c r="C21" s="20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3">
        <v>0</v>
      </c>
      <c r="U21" s="23">
        <v>0</v>
      </c>
      <c r="V21" s="24">
        <v>0</v>
      </c>
      <c r="W21" s="44"/>
      <c r="X21" s="80"/>
      <c r="Y21" s="80"/>
      <c r="Z21" s="80"/>
      <c r="AA21" s="80"/>
    </row>
    <row r="22" spans="1:27" ht="24.75" customHeight="1">
      <c r="A22" s="85"/>
      <c r="B22" s="30" t="s">
        <v>1008</v>
      </c>
      <c r="C22" s="35" t="s">
        <v>81</v>
      </c>
      <c r="D22" s="35" t="s">
        <v>243</v>
      </c>
      <c r="E22" s="35" t="s">
        <v>244</v>
      </c>
      <c r="F22" s="35" t="s">
        <v>245</v>
      </c>
      <c r="G22" s="35" t="s">
        <v>246</v>
      </c>
      <c r="H22" s="35" t="s">
        <v>247</v>
      </c>
      <c r="I22" s="35" t="s">
        <v>248</v>
      </c>
      <c r="J22" s="35" t="s">
        <v>249</v>
      </c>
      <c r="K22" s="35" t="s">
        <v>250</v>
      </c>
      <c r="L22" s="35" t="s">
        <v>251</v>
      </c>
      <c r="M22" s="35" t="s">
        <v>252</v>
      </c>
      <c r="N22" s="35" t="s">
        <v>253</v>
      </c>
      <c r="O22" s="35" t="s">
        <v>254</v>
      </c>
      <c r="P22" s="35" t="s">
        <v>255</v>
      </c>
      <c r="Q22" s="35" t="s">
        <v>256</v>
      </c>
      <c r="R22" s="35" t="s">
        <v>257</v>
      </c>
      <c r="S22" s="35" t="s">
        <v>258</v>
      </c>
      <c r="T22" s="35" t="s">
        <v>259</v>
      </c>
      <c r="U22" s="35" t="s">
        <v>260</v>
      </c>
      <c r="V22" s="35" t="s">
        <v>261</v>
      </c>
      <c r="W22" s="39">
        <f>AVERAGE(C23:V23)</f>
        <v>0</v>
      </c>
      <c r="X22" s="80"/>
      <c r="Y22" s="80"/>
      <c r="Z22" s="80"/>
      <c r="AA22" s="80"/>
    </row>
    <row r="23" spans="1:27" ht="24.75" customHeight="1" thickBot="1">
      <c r="A23" s="85"/>
      <c r="B23" s="31"/>
      <c r="C23" s="20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3">
        <v>0</v>
      </c>
      <c r="U23" s="23">
        <v>0</v>
      </c>
      <c r="V23" s="24">
        <v>0</v>
      </c>
      <c r="W23" s="44"/>
      <c r="X23" s="80"/>
      <c r="Y23" s="80"/>
      <c r="Z23" s="80"/>
      <c r="AA23" s="80"/>
    </row>
    <row r="24" spans="1:27" ht="24.75" customHeight="1">
      <c r="A24" s="85"/>
      <c r="B24" s="30" t="s">
        <v>1009</v>
      </c>
      <c r="C24" s="35" t="s">
        <v>82</v>
      </c>
      <c r="D24" s="35" t="s">
        <v>262</v>
      </c>
      <c r="E24" s="35" t="s">
        <v>263</v>
      </c>
      <c r="F24" s="35" t="s">
        <v>264</v>
      </c>
      <c r="G24" s="35" t="s">
        <v>265</v>
      </c>
      <c r="H24" s="35" t="s">
        <v>266</v>
      </c>
      <c r="I24" s="35" t="s">
        <v>267</v>
      </c>
      <c r="J24" s="35" t="s">
        <v>268</v>
      </c>
      <c r="K24" s="35" t="s">
        <v>269</v>
      </c>
      <c r="L24" s="35" t="s">
        <v>270</v>
      </c>
      <c r="M24" s="35" t="s">
        <v>271</v>
      </c>
      <c r="N24" s="35" t="s">
        <v>272</v>
      </c>
      <c r="O24" s="35" t="s">
        <v>273</v>
      </c>
      <c r="P24" s="35" t="s">
        <v>274</v>
      </c>
      <c r="Q24" s="35" t="s">
        <v>275</v>
      </c>
      <c r="R24" s="35" t="s">
        <v>276</v>
      </c>
      <c r="S24" s="35" t="s">
        <v>277</v>
      </c>
      <c r="T24" s="35" t="s">
        <v>278</v>
      </c>
      <c r="U24" s="35" t="s">
        <v>279</v>
      </c>
      <c r="V24" s="35" t="s">
        <v>280</v>
      </c>
      <c r="W24" s="39">
        <f>AVERAGE(C25:V25)</f>
        <v>0</v>
      </c>
      <c r="X24" s="80"/>
      <c r="Y24" s="80"/>
      <c r="Z24" s="80"/>
      <c r="AA24" s="80"/>
    </row>
    <row r="25" spans="1:27" ht="24.75" customHeight="1" thickBot="1">
      <c r="A25" s="85"/>
      <c r="B25" s="31"/>
      <c r="C25" s="20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3">
        <v>0</v>
      </c>
      <c r="U25" s="23">
        <v>0</v>
      </c>
      <c r="V25" s="24">
        <v>0</v>
      </c>
      <c r="W25" s="44"/>
      <c r="X25" s="80"/>
      <c r="Y25" s="80"/>
      <c r="Z25" s="80"/>
      <c r="AA25" s="80"/>
    </row>
    <row r="26" spans="1:27" ht="24.75" customHeight="1">
      <c r="A26" s="85"/>
      <c r="B26" s="30" t="s">
        <v>1010</v>
      </c>
      <c r="C26" s="35" t="s">
        <v>83</v>
      </c>
      <c r="D26" s="35" t="s">
        <v>281</v>
      </c>
      <c r="E26" s="35" t="s">
        <v>282</v>
      </c>
      <c r="F26" s="35" t="s">
        <v>283</v>
      </c>
      <c r="G26" s="35" t="s">
        <v>284</v>
      </c>
      <c r="H26" s="35" t="s">
        <v>285</v>
      </c>
      <c r="I26" s="35" t="s">
        <v>286</v>
      </c>
      <c r="J26" s="35" t="s">
        <v>287</v>
      </c>
      <c r="K26" s="35" t="s">
        <v>288</v>
      </c>
      <c r="L26" s="35" t="s">
        <v>289</v>
      </c>
      <c r="M26" s="35" t="s">
        <v>290</v>
      </c>
      <c r="N26" s="35" t="s">
        <v>291</v>
      </c>
      <c r="O26" s="35" t="s">
        <v>292</v>
      </c>
      <c r="P26" s="35" t="s">
        <v>293</v>
      </c>
      <c r="Q26" s="35" t="s">
        <v>294</v>
      </c>
      <c r="R26" s="35" t="s">
        <v>295</v>
      </c>
      <c r="S26" s="35" t="s">
        <v>296</v>
      </c>
      <c r="T26" s="35" t="s">
        <v>297</v>
      </c>
      <c r="U26" s="35" t="s">
        <v>298</v>
      </c>
      <c r="V26" s="35" t="s">
        <v>299</v>
      </c>
      <c r="W26" s="39">
        <f>AVERAGE(C27:V27)</f>
        <v>0</v>
      </c>
      <c r="X26" s="80"/>
      <c r="Y26" s="80"/>
      <c r="Z26" s="80"/>
      <c r="AA26" s="80"/>
    </row>
    <row r="27" spans="1:27" ht="24.75" customHeight="1" thickBot="1">
      <c r="A27" s="85"/>
      <c r="B27" s="31"/>
      <c r="C27" s="20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3">
        <v>0</v>
      </c>
      <c r="U27" s="23">
        <v>0</v>
      </c>
      <c r="V27" s="24">
        <v>0</v>
      </c>
      <c r="W27" s="44"/>
      <c r="X27" s="80"/>
      <c r="Y27" s="80"/>
      <c r="Z27" s="80"/>
      <c r="AA27" s="80"/>
    </row>
    <row r="28" spans="1:27" ht="24.75" customHeight="1">
      <c r="A28" s="85"/>
      <c r="B28" s="30" t="s">
        <v>1011</v>
      </c>
      <c r="C28" s="46" t="s">
        <v>85</v>
      </c>
      <c r="D28" s="46" t="s">
        <v>86</v>
      </c>
      <c r="E28" s="46" t="s">
        <v>87</v>
      </c>
      <c r="F28" s="46" t="s">
        <v>88</v>
      </c>
      <c r="G28" s="46" t="s">
        <v>89</v>
      </c>
      <c r="H28" s="46" t="s">
        <v>90</v>
      </c>
      <c r="I28" s="46" t="s">
        <v>91</v>
      </c>
      <c r="J28" s="46" t="s">
        <v>92</v>
      </c>
      <c r="K28" s="46" t="s">
        <v>93</v>
      </c>
      <c r="L28" s="46" t="s">
        <v>94</v>
      </c>
      <c r="M28" s="46" t="s">
        <v>95</v>
      </c>
      <c r="N28" s="46" t="s">
        <v>96</v>
      </c>
      <c r="O28" s="46" t="s">
        <v>97</v>
      </c>
      <c r="P28" s="46" t="s">
        <v>98</v>
      </c>
      <c r="Q28" s="46" t="s">
        <v>99</v>
      </c>
      <c r="R28" s="46" t="s">
        <v>100</v>
      </c>
      <c r="S28" s="46" t="s">
        <v>101</v>
      </c>
      <c r="T28" s="46" t="s">
        <v>102</v>
      </c>
      <c r="U28" s="46" t="s">
        <v>103</v>
      </c>
      <c r="V28" s="46" t="s">
        <v>104</v>
      </c>
      <c r="W28" s="39">
        <f>AVERAGE(C29:V29)</f>
        <v>0</v>
      </c>
      <c r="X28" s="80"/>
      <c r="Y28" s="80"/>
      <c r="Z28" s="80"/>
      <c r="AA28" s="80"/>
    </row>
    <row r="29" spans="1:27" ht="24.75" customHeight="1" thickBot="1">
      <c r="A29" s="85"/>
      <c r="B29" s="31"/>
      <c r="C29" s="20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3">
        <v>0</v>
      </c>
      <c r="U29" s="23">
        <v>0</v>
      </c>
      <c r="V29" s="24">
        <v>0</v>
      </c>
      <c r="W29" s="44"/>
      <c r="X29" s="80"/>
      <c r="Y29" s="80"/>
      <c r="Z29" s="80"/>
      <c r="AA29" s="80"/>
    </row>
    <row r="30" spans="1:27" ht="24.75" customHeight="1">
      <c r="A30" s="85"/>
      <c r="B30" s="30" t="s">
        <v>1012</v>
      </c>
      <c r="C30" s="35" t="s">
        <v>84</v>
      </c>
      <c r="D30" s="35" t="s">
        <v>300</v>
      </c>
      <c r="E30" s="35" t="s">
        <v>301</v>
      </c>
      <c r="F30" s="35" t="s">
        <v>302</v>
      </c>
      <c r="G30" s="35" t="s">
        <v>303</v>
      </c>
      <c r="H30" s="35" t="s">
        <v>304</v>
      </c>
      <c r="I30" s="35" t="s">
        <v>305</v>
      </c>
      <c r="J30" s="35" t="s">
        <v>306</v>
      </c>
      <c r="K30" s="35" t="s">
        <v>307</v>
      </c>
      <c r="L30" s="35" t="s">
        <v>308</v>
      </c>
      <c r="M30" s="35" t="s">
        <v>309</v>
      </c>
      <c r="N30" s="35" t="s">
        <v>310</v>
      </c>
      <c r="O30" s="35" t="s">
        <v>311</v>
      </c>
      <c r="P30" s="35" t="s">
        <v>312</v>
      </c>
      <c r="Q30" s="35" t="s">
        <v>313</v>
      </c>
      <c r="R30" s="35" t="s">
        <v>314</v>
      </c>
      <c r="S30" s="35" t="s">
        <v>315</v>
      </c>
      <c r="T30" s="35" t="s">
        <v>316</v>
      </c>
      <c r="U30" s="35" t="s">
        <v>317</v>
      </c>
      <c r="V30" s="35" t="s">
        <v>318</v>
      </c>
      <c r="W30" s="39">
        <f>AVERAGE(C31:V31)</f>
        <v>0</v>
      </c>
      <c r="X30" s="80"/>
      <c r="Y30" s="80"/>
      <c r="Z30" s="80"/>
      <c r="AA30" s="80"/>
    </row>
    <row r="31" spans="1:27" ht="24.75" customHeight="1" thickBot="1">
      <c r="A31" s="85"/>
      <c r="B31" s="31"/>
      <c r="C31" s="20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3">
        <v>0</v>
      </c>
      <c r="U31" s="23">
        <v>0</v>
      </c>
      <c r="V31" s="24">
        <v>0</v>
      </c>
      <c r="W31" s="44"/>
      <c r="X31" s="80"/>
      <c r="Y31" s="80"/>
      <c r="Z31" s="80"/>
      <c r="AA31" s="80"/>
    </row>
    <row r="32" spans="1:27" ht="24.75" customHeight="1">
      <c r="A32" s="85"/>
      <c r="B32" s="30" t="s">
        <v>1013</v>
      </c>
      <c r="C32" s="35" t="s">
        <v>105</v>
      </c>
      <c r="D32" s="35" t="s">
        <v>319</v>
      </c>
      <c r="E32" s="35" t="s">
        <v>320</v>
      </c>
      <c r="F32" s="35" t="s">
        <v>321</v>
      </c>
      <c r="G32" s="35" t="s">
        <v>322</v>
      </c>
      <c r="H32" s="35" t="s">
        <v>323</v>
      </c>
      <c r="I32" s="35" t="s">
        <v>324</v>
      </c>
      <c r="J32" s="35" t="s">
        <v>325</v>
      </c>
      <c r="K32" s="35" t="s">
        <v>326</v>
      </c>
      <c r="L32" s="35" t="s">
        <v>327</v>
      </c>
      <c r="M32" s="35" t="s">
        <v>328</v>
      </c>
      <c r="N32" s="35" t="s">
        <v>329</v>
      </c>
      <c r="O32" s="35" t="s">
        <v>330</v>
      </c>
      <c r="P32" s="35" t="s">
        <v>331</v>
      </c>
      <c r="Q32" s="35" t="s">
        <v>332</v>
      </c>
      <c r="R32" s="35" t="s">
        <v>333</v>
      </c>
      <c r="S32" s="35" t="s">
        <v>334</v>
      </c>
      <c r="T32" s="35" t="s">
        <v>335</v>
      </c>
      <c r="U32" s="35" t="s">
        <v>336</v>
      </c>
      <c r="V32" s="35" t="s">
        <v>337</v>
      </c>
      <c r="W32" s="39">
        <f>AVERAGE(C33:V33)</f>
        <v>0</v>
      </c>
      <c r="X32" s="80"/>
      <c r="Y32" s="80"/>
      <c r="Z32" s="80"/>
      <c r="AA32" s="80"/>
    </row>
    <row r="33" spans="1:27" ht="24.75" customHeight="1" thickBot="1">
      <c r="A33" s="85"/>
      <c r="B33" s="31"/>
      <c r="C33" s="20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3">
        <v>0</v>
      </c>
      <c r="U33" s="23">
        <v>0</v>
      </c>
      <c r="V33" s="24">
        <v>0</v>
      </c>
      <c r="W33" s="44"/>
      <c r="X33" s="80"/>
      <c r="Y33" s="80"/>
      <c r="Z33" s="80"/>
      <c r="AA33" s="80"/>
    </row>
    <row r="34" spans="1:27" ht="24.75" customHeight="1">
      <c r="A34" s="85"/>
      <c r="B34" s="30" t="s">
        <v>1014</v>
      </c>
      <c r="C34" s="35" t="s">
        <v>106</v>
      </c>
      <c r="D34" s="35" t="s">
        <v>338</v>
      </c>
      <c r="E34" s="35" t="s">
        <v>339</v>
      </c>
      <c r="F34" s="35" t="s">
        <v>340</v>
      </c>
      <c r="G34" s="35" t="s">
        <v>341</v>
      </c>
      <c r="H34" s="35" t="s">
        <v>342</v>
      </c>
      <c r="I34" s="35" t="s">
        <v>343</v>
      </c>
      <c r="J34" s="35" t="s">
        <v>344</v>
      </c>
      <c r="K34" s="35" t="s">
        <v>345</v>
      </c>
      <c r="L34" s="35" t="s">
        <v>346</v>
      </c>
      <c r="M34" s="35" t="s">
        <v>347</v>
      </c>
      <c r="N34" s="35" t="s">
        <v>348</v>
      </c>
      <c r="O34" s="35" t="s">
        <v>349</v>
      </c>
      <c r="P34" s="35" t="s">
        <v>350</v>
      </c>
      <c r="Q34" s="35" t="s">
        <v>351</v>
      </c>
      <c r="R34" s="35" t="s">
        <v>352</v>
      </c>
      <c r="S34" s="35" t="s">
        <v>353</v>
      </c>
      <c r="T34" s="35" t="s">
        <v>354</v>
      </c>
      <c r="U34" s="35" t="s">
        <v>355</v>
      </c>
      <c r="V34" s="35" t="s">
        <v>356</v>
      </c>
      <c r="W34" s="39">
        <f>AVERAGE(C35:V35)</f>
        <v>0</v>
      </c>
      <c r="X34" s="80"/>
      <c r="Y34" s="80"/>
      <c r="Z34" s="80"/>
      <c r="AA34" s="80"/>
    </row>
    <row r="35" spans="1:27" ht="24.75" customHeight="1" thickBot="1">
      <c r="A35" s="85"/>
      <c r="B35" s="31"/>
      <c r="C35" s="20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3">
        <v>0</v>
      </c>
      <c r="U35" s="23">
        <v>0</v>
      </c>
      <c r="V35" s="24">
        <v>0</v>
      </c>
      <c r="W35" s="44"/>
      <c r="X35" s="80"/>
      <c r="Y35" s="80"/>
      <c r="Z35" s="80"/>
      <c r="AA35" s="80"/>
    </row>
    <row r="36" spans="1:27" ht="24.75" customHeight="1">
      <c r="A36" s="85"/>
      <c r="B36" s="30" t="s">
        <v>1015</v>
      </c>
      <c r="C36" s="35" t="s">
        <v>107</v>
      </c>
      <c r="D36" s="35" t="s">
        <v>357</v>
      </c>
      <c r="E36" s="35" t="s">
        <v>358</v>
      </c>
      <c r="F36" s="35" t="s">
        <v>359</v>
      </c>
      <c r="G36" s="35" t="s">
        <v>360</v>
      </c>
      <c r="H36" s="35" t="s">
        <v>361</v>
      </c>
      <c r="I36" s="35" t="s">
        <v>362</v>
      </c>
      <c r="J36" s="35" t="s">
        <v>363</v>
      </c>
      <c r="K36" s="35" t="s">
        <v>364</v>
      </c>
      <c r="L36" s="35" t="s">
        <v>365</v>
      </c>
      <c r="M36" s="35" t="s">
        <v>366</v>
      </c>
      <c r="N36" s="35" t="s">
        <v>367</v>
      </c>
      <c r="O36" s="35" t="s">
        <v>368</v>
      </c>
      <c r="P36" s="35" t="s">
        <v>369</v>
      </c>
      <c r="Q36" s="35" t="s">
        <v>370</v>
      </c>
      <c r="R36" s="35" t="s">
        <v>371</v>
      </c>
      <c r="S36" s="35" t="s">
        <v>372</v>
      </c>
      <c r="T36" s="35" t="s">
        <v>373</v>
      </c>
      <c r="U36" s="35" t="s">
        <v>374</v>
      </c>
      <c r="V36" s="35" t="s">
        <v>375</v>
      </c>
      <c r="W36" s="39">
        <f>AVERAGE(C37:V37)</f>
        <v>0</v>
      </c>
      <c r="X36" s="80"/>
      <c r="Y36" s="80"/>
      <c r="Z36" s="80"/>
      <c r="AA36" s="80"/>
    </row>
    <row r="37" spans="1:27" ht="24.75" customHeight="1" thickBot="1">
      <c r="A37" s="85"/>
      <c r="B37" s="31"/>
      <c r="C37" s="20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3">
        <v>0</v>
      </c>
      <c r="U37" s="23">
        <v>0</v>
      </c>
      <c r="V37" s="24">
        <v>0</v>
      </c>
      <c r="W37" s="44"/>
      <c r="X37" s="80"/>
      <c r="Y37" s="80"/>
      <c r="Z37" s="80"/>
      <c r="AA37" s="80"/>
    </row>
    <row r="38" spans="1:27" ht="24.75" customHeight="1">
      <c r="A38" s="85"/>
      <c r="B38" s="30" t="s">
        <v>1016</v>
      </c>
      <c r="C38" s="35" t="s">
        <v>108</v>
      </c>
      <c r="D38" s="35" t="s">
        <v>376</v>
      </c>
      <c r="E38" s="35" t="s">
        <v>377</v>
      </c>
      <c r="F38" s="35" t="s">
        <v>378</v>
      </c>
      <c r="G38" s="35" t="s">
        <v>379</v>
      </c>
      <c r="H38" s="35" t="s">
        <v>380</v>
      </c>
      <c r="I38" s="35" t="s">
        <v>381</v>
      </c>
      <c r="J38" s="35" t="s">
        <v>382</v>
      </c>
      <c r="K38" s="35" t="s">
        <v>383</v>
      </c>
      <c r="L38" s="35" t="s">
        <v>384</v>
      </c>
      <c r="M38" s="35" t="s">
        <v>385</v>
      </c>
      <c r="N38" s="35" t="s">
        <v>386</v>
      </c>
      <c r="O38" s="35" t="s">
        <v>387</v>
      </c>
      <c r="P38" s="35" t="s">
        <v>388</v>
      </c>
      <c r="Q38" s="35" t="s">
        <v>389</v>
      </c>
      <c r="R38" s="35" t="s">
        <v>390</v>
      </c>
      <c r="S38" s="35" t="s">
        <v>391</v>
      </c>
      <c r="T38" s="35" t="s">
        <v>392</v>
      </c>
      <c r="U38" s="35" t="s">
        <v>393</v>
      </c>
      <c r="V38" s="35" t="s">
        <v>394</v>
      </c>
      <c r="W38" s="39">
        <f>AVERAGE(C39:V39)</f>
        <v>0</v>
      </c>
      <c r="X38" s="80"/>
      <c r="Y38" s="80"/>
      <c r="Z38" s="80"/>
      <c r="AA38" s="80"/>
    </row>
    <row r="39" spans="1:27" ht="24.75" customHeight="1" thickBot="1">
      <c r="A39" s="85"/>
      <c r="B39" s="31"/>
      <c r="C39" s="20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3">
        <v>0</v>
      </c>
      <c r="U39" s="23">
        <v>0</v>
      </c>
      <c r="V39" s="24">
        <v>0</v>
      </c>
      <c r="W39" s="44"/>
      <c r="X39" s="80"/>
      <c r="Y39" s="80"/>
      <c r="Z39" s="80"/>
      <c r="AA39" s="80"/>
    </row>
    <row r="40" spans="1:27" ht="24.75" customHeight="1">
      <c r="A40" s="85"/>
      <c r="B40" s="30" t="s">
        <v>1017</v>
      </c>
      <c r="C40" s="35" t="s">
        <v>109</v>
      </c>
      <c r="D40" s="35" t="s">
        <v>395</v>
      </c>
      <c r="E40" s="35" t="s">
        <v>396</v>
      </c>
      <c r="F40" s="35" t="s">
        <v>397</v>
      </c>
      <c r="G40" s="35" t="s">
        <v>398</v>
      </c>
      <c r="H40" s="35" t="s">
        <v>399</v>
      </c>
      <c r="I40" s="35" t="s">
        <v>400</v>
      </c>
      <c r="J40" s="35" t="s">
        <v>401</v>
      </c>
      <c r="K40" s="35" t="s">
        <v>402</v>
      </c>
      <c r="L40" s="35" t="s">
        <v>403</v>
      </c>
      <c r="M40" s="35" t="s">
        <v>404</v>
      </c>
      <c r="N40" s="35" t="s">
        <v>405</v>
      </c>
      <c r="O40" s="35" t="s">
        <v>406</v>
      </c>
      <c r="P40" s="35" t="s">
        <v>407</v>
      </c>
      <c r="Q40" s="35" t="s">
        <v>408</v>
      </c>
      <c r="R40" s="35" t="s">
        <v>409</v>
      </c>
      <c r="S40" s="35" t="s">
        <v>410</v>
      </c>
      <c r="T40" s="35" t="s">
        <v>411</v>
      </c>
      <c r="U40" s="35" t="s">
        <v>412</v>
      </c>
      <c r="V40" s="35" t="s">
        <v>413</v>
      </c>
      <c r="W40" s="39">
        <f>AVERAGE(C41:V41)</f>
        <v>0</v>
      </c>
      <c r="X40" s="80"/>
      <c r="Y40" s="80"/>
      <c r="Z40" s="80"/>
      <c r="AA40" s="80"/>
    </row>
    <row r="41" spans="1:27" ht="24.75" customHeight="1" thickBot="1">
      <c r="A41" s="85"/>
      <c r="B41" s="31"/>
      <c r="C41" s="20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3">
        <v>0</v>
      </c>
      <c r="U41" s="23">
        <v>0</v>
      </c>
      <c r="V41" s="24">
        <v>0</v>
      </c>
      <c r="W41" s="44"/>
      <c r="X41" s="80"/>
      <c r="Y41" s="80"/>
      <c r="Z41" s="80"/>
      <c r="AA41" s="80"/>
    </row>
    <row r="42" spans="1:27" ht="24.75" customHeight="1">
      <c r="A42" s="85"/>
      <c r="B42" s="30" t="s">
        <v>1018</v>
      </c>
      <c r="C42" s="35" t="s">
        <v>110</v>
      </c>
      <c r="D42" s="35" t="s">
        <v>414</v>
      </c>
      <c r="E42" s="35" t="s">
        <v>415</v>
      </c>
      <c r="F42" s="35" t="s">
        <v>416</v>
      </c>
      <c r="G42" s="35" t="s">
        <v>417</v>
      </c>
      <c r="H42" s="35" t="s">
        <v>418</v>
      </c>
      <c r="I42" s="35" t="s">
        <v>419</v>
      </c>
      <c r="J42" s="35" t="s">
        <v>420</v>
      </c>
      <c r="K42" s="35" t="s">
        <v>421</v>
      </c>
      <c r="L42" s="35" t="s">
        <v>422</v>
      </c>
      <c r="M42" s="35" t="s">
        <v>423</v>
      </c>
      <c r="N42" s="35" t="s">
        <v>424</v>
      </c>
      <c r="O42" s="35" t="s">
        <v>425</v>
      </c>
      <c r="P42" s="35" t="s">
        <v>426</v>
      </c>
      <c r="Q42" s="35" t="s">
        <v>427</v>
      </c>
      <c r="R42" s="35" t="s">
        <v>428</v>
      </c>
      <c r="S42" s="35" t="s">
        <v>429</v>
      </c>
      <c r="T42" s="35" t="s">
        <v>430</v>
      </c>
      <c r="U42" s="35" t="s">
        <v>431</v>
      </c>
      <c r="V42" s="35" t="s">
        <v>432</v>
      </c>
      <c r="W42" s="39">
        <f>AVERAGE(C43:V43)</f>
        <v>0</v>
      </c>
      <c r="X42" s="80"/>
      <c r="Y42" s="80"/>
      <c r="Z42" s="80"/>
      <c r="AA42" s="80"/>
    </row>
    <row r="43" spans="1:27" ht="24.75" customHeight="1" thickBot="1">
      <c r="A43" s="85"/>
      <c r="B43" s="31"/>
      <c r="C43" s="20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3">
        <v>0</v>
      </c>
      <c r="U43" s="23">
        <v>0</v>
      </c>
      <c r="V43" s="24">
        <v>0</v>
      </c>
      <c r="W43" s="44"/>
      <c r="X43" s="80"/>
      <c r="Y43" s="80"/>
      <c r="Z43" s="80"/>
      <c r="AA43" s="80"/>
    </row>
    <row r="44" spans="1:27" ht="24.75" customHeight="1">
      <c r="A44" s="85"/>
      <c r="B44" s="30" t="s">
        <v>1019</v>
      </c>
      <c r="C44" s="35" t="s">
        <v>111</v>
      </c>
      <c r="D44" s="35" t="s">
        <v>433</v>
      </c>
      <c r="E44" s="35" t="s">
        <v>434</v>
      </c>
      <c r="F44" s="35" t="s">
        <v>435</v>
      </c>
      <c r="G44" s="35" t="s">
        <v>436</v>
      </c>
      <c r="H44" s="35" t="s">
        <v>437</v>
      </c>
      <c r="I44" s="35" t="s">
        <v>438</v>
      </c>
      <c r="J44" s="35" t="s">
        <v>439</v>
      </c>
      <c r="K44" s="35" t="s">
        <v>440</v>
      </c>
      <c r="L44" s="35" t="s">
        <v>441</v>
      </c>
      <c r="M44" s="35" t="s">
        <v>442</v>
      </c>
      <c r="N44" s="35" t="s">
        <v>443</v>
      </c>
      <c r="O44" s="35" t="s">
        <v>444</v>
      </c>
      <c r="P44" s="35" t="s">
        <v>445</v>
      </c>
      <c r="Q44" s="35" t="s">
        <v>446</v>
      </c>
      <c r="R44" s="35" t="s">
        <v>447</v>
      </c>
      <c r="S44" s="35" t="s">
        <v>448</v>
      </c>
      <c r="T44" s="35" t="s">
        <v>449</v>
      </c>
      <c r="U44" s="35" t="s">
        <v>450</v>
      </c>
      <c r="V44" s="35" t="s">
        <v>451</v>
      </c>
      <c r="W44" s="39">
        <f>AVERAGE(C45:V45)</f>
        <v>0</v>
      </c>
      <c r="X44" s="80"/>
      <c r="Y44" s="80"/>
      <c r="Z44" s="80"/>
      <c r="AA44" s="80"/>
    </row>
    <row r="45" spans="1:27" ht="24.75" customHeight="1" thickBot="1">
      <c r="A45" s="85"/>
      <c r="B45" s="31"/>
      <c r="C45" s="20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3">
        <v>0</v>
      </c>
      <c r="U45" s="23">
        <v>0</v>
      </c>
      <c r="V45" s="24">
        <v>0</v>
      </c>
      <c r="W45" s="44"/>
      <c r="X45" s="80"/>
      <c r="Y45" s="80"/>
      <c r="Z45" s="80"/>
      <c r="AA45" s="80"/>
    </row>
    <row r="46" spans="1:27" ht="24.75" customHeight="1">
      <c r="A46" s="85"/>
      <c r="B46" s="30" t="s">
        <v>1020</v>
      </c>
      <c r="C46" s="35" t="s">
        <v>112</v>
      </c>
      <c r="D46" s="35" t="s">
        <v>452</v>
      </c>
      <c r="E46" s="35" t="s">
        <v>453</v>
      </c>
      <c r="F46" s="35" t="s">
        <v>454</v>
      </c>
      <c r="G46" s="35" t="s">
        <v>455</v>
      </c>
      <c r="H46" s="35" t="s">
        <v>456</v>
      </c>
      <c r="I46" s="35" t="s">
        <v>457</v>
      </c>
      <c r="J46" s="35" t="s">
        <v>458</v>
      </c>
      <c r="K46" s="35" t="s">
        <v>459</v>
      </c>
      <c r="L46" s="35" t="s">
        <v>460</v>
      </c>
      <c r="M46" s="35" t="s">
        <v>461</v>
      </c>
      <c r="N46" s="35" t="s">
        <v>462</v>
      </c>
      <c r="O46" s="35" t="s">
        <v>463</v>
      </c>
      <c r="P46" s="35" t="s">
        <v>464</v>
      </c>
      <c r="Q46" s="35" t="s">
        <v>465</v>
      </c>
      <c r="R46" s="35" t="s">
        <v>466</v>
      </c>
      <c r="S46" s="35" t="s">
        <v>467</v>
      </c>
      <c r="T46" s="35" t="s">
        <v>468</v>
      </c>
      <c r="U46" s="35" t="s">
        <v>469</v>
      </c>
      <c r="V46" s="35" t="s">
        <v>470</v>
      </c>
      <c r="W46" s="39">
        <f>AVERAGE(C47:V47)</f>
        <v>0</v>
      </c>
      <c r="X46" s="80"/>
      <c r="Y46" s="80"/>
      <c r="Z46" s="80"/>
      <c r="AA46" s="80"/>
    </row>
    <row r="47" spans="1:27" ht="24.75" customHeight="1" thickBot="1">
      <c r="A47" s="85"/>
      <c r="B47" s="31"/>
      <c r="C47" s="20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3">
        <v>0</v>
      </c>
      <c r="U47" s="23">
        <v>0</v>
      </c>
      <c r="V47" s="24">
        <v>0</v>
      </c>
      <c r="W47" s="44"/>
      <c r="X47" s="80"/>
      <c r="Y47" s="80"/>
      <c r="Z47" s="80"/>
      <c r="AA47" s="80"/>
    </row>
    <row r="48" spans="1:27" ht="24.75" customHeight="1">
      <c r="A48" s="85"/>
      <c r="B48" s="30" t="s">
        <v>1021</v>
      </c>
      <c r="C48" s="35" t="s">
        <v>113</v>
      </c>
      <c r="D48" s="35" t="s">
        <v>471</v>
      </c>
      <c r="E48" s="35" t="s">
        <v>472</v>
      </c>
      <c r="F48" s="35" t="s">
        <v>473</v>
      </c>
      <c r="G48" s="35" t="s">
        <v>474</v>
      </c>
      <c r="H48" s="35" t="s">
        <v>475</v>
      </c>
      <c r="I48" s="35" t="s">
        <v>476</v>
      </c>
      <c r="J48" s="35" t="s">
        <v>477</v>
      </c>
      <c r="K48" s="35" t="s">
        <v>478</v>
      </c>
      <c r="L48" s="35" t="s">
        <v>479</v>
      </c>
      <c r="M48" s="35" t="s">
        <v>480</v>
      </c>
      <c r="N48" s="35" t="s">
        <v>481</v>
      </c>
      <c r="O48" s="35" t="s">
        <v>482</v>
      </c>
      <c r="P48" s="35" t="s">
        <v>483</v>
      </c>
      <c r="Q48" s="35" t="s">
        <v>484</v>
      </c>
      <c r="R48" s="35" t="s">
        <v>485</v>
      </c>
      <c r="S48" s="35" t="s">
        <v>486</v>
      </c>
      <c r="T48" s="35" t="s">
        <v>487</v>
      </c>
      <c r="U48" s="35" t="s">
        <v>488</v>
      </c>
      <c r="V48" s="35" t="s">
        <v>489</v>
      </c>
      <c r="W48" s="39">
        <f>AVERAGE(C49:V49)</f>
        <v>0</v>
      </c>
      <c r="X48" s="80"/>
      <c r="Y48" s="80"/>
      <c r="Z48" s="80"/>
      <c r="AA48" s="80"/>
    </row>
    <row r="49" spans="1:27" ht="24.75" customHeight="1" thickBot="1">
      <c r="A49" s="85"/>
      <c r="B49" s="31"/>
      <c r="C49" s="20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3">
        <v>0</v>
      </c>
      <c r="U49" s="23">
        <v>0</v>
      </c>
      <c r="V49" s="24">
        <v>0</v>
      </c>
      <c r="W49" s="44"/>
      <c r="X49" s="80"/>
      <c r="Y49" s="80"/>
      <c r="Z49" s="80"/>
      <c r="AA49" s="80"/>
    </row>
    <row r="50" spans="1:27" ht="24.75" customHeight="1">
      <c r="A50" s="85"/>
      <c r="B50" s="30" t="s">
        <v>1022</v>
      </c>
      <c r="C50" s="35" t="s">
        <v>114</v>
      </c>
      <c r="D50" s="35" t="s">
        <v>490</v>
      </c>
      <c r="E50" s="35" t="s">
        <v>491</v>
      </c>
      <c r="F50" s="35" t="s">
        <v>492</v>
      </c>
      <c r="G50" s="35" t="s">
        <v>493</v>
      </c>
      <c r="H50" s="35" t="s">
        <v>494</v>
      </c>
      <c r="I50" s="35" t="s">
        <v>495</v>
      </c>
      <c r="J50" s="35" t="s">
        <v>496</v>
      </c>
      <c r="K50" s="35" t="s">
        <v>497</v>
      </c>
      <c r="L50" s="35" t="s">
        <v>498</v>
      </c>
      <c r="M50" s="35" t="s">
        <v>499</v>
      </c>
      <c r="N50" s="35" t="s">
        <v>500</v>
      </c>
      <c r="O50" s="35" t="s">
        <v>501</v>
      </c>
      <c r="P50" s="35" t="s">
        <v>502</v>
      </c>
      <c r="Q50" s="35" t="s">
        <v>503</v>
      </c>
      <c r="R50" s="35" t="s">
        <v>504</v>
      </c>
      <c r="S50" s="35" t="s">
        <v>505</v>
      </c>
      <c r="T50" s="35" t="s">
        <v>506</v>
      </c>
      <c r="U50" s="35" t="s">
        <v>507</v>
      </c>
      <c r="V50" s="35" t="s">
        <v>508</v>
      </c>
      <c r="W50" s="39">
        <f>AVERAGE(C51:V51)</f>
        <v>0</v>
      </c>
      <c r="X50" s="80"/>
      <c r="Y50" s="80"/>
      <c r="Z50" s="80"/>
      <c r="AA50" s="80"/>
    </row>
    <row r="51" spans="1:27" ht="24.75" customHeight="1" thickBot="1">
      <c r="A51" s="85"/>
      <c r="B51" s="31"/>
      <c r="C51" s="20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3">
        <v>0</v>
      </c>
      <c r="U51" s="23">
        <v>0</v>
      </c>
      <c r="V51" s="24">
        <v>0</v>
      </c>
      <c r="W51" s="44"/>
      <c r="X51" s="80"/>
      <c r="Y51" s="80"/>
      <c r="Z51" s="80"/>
      <c r="AA51" s="80"/>
    </row>
    <row r="52" spans="1:27" ht="24.75" customHeight="1">
      <c r="A52" s="85"/>
      <c r="B52" s="30" t="s">
        <v>1023</v>
      </c>
      <c r="C52" s="35" t="s">
        <v>115</v>
      </c>
      <c r="D52" s="35" t="s">
        <v>509</v>
      </c>
      <c r="E52" s="35" t="s">
        <v>510</v>
      </c>
      <c r="F52" s="35" t="s">
        <v>511</v>
      </c>
      <c r="G52" s="35" t="s">
        <v>512</v>
      </c>
      <c r="H52" s="35" t="s">
        <v>513</v>
      </c>
      <c r="I52" s="35" t="s">
        <v>514</v>
      </c>
      <c r="J52" s="35" t="s">
        <v>515</v>
      </c>
      <c r="K52" s="35" t="s">
        <v>516</v>
      </c>
      <c r="L52" s="35" t="s">
        <v>517</v>
      </c>
      <c r="M52" s="35" t="s">
        <v>518</v>
      </c>
      <c r="N52" s="35" t="s">
        <v>519</v>
      </c>
      <c r="O52" s="35" t="s">
        <v>520</v>
      </c>
      <c r="P52" s="35" t="s">
        <v>521</v>
      </c>
      <c r="Q52" s="35" t="s">
        <v>522</v>
      </c>
      <c r="R52" s="35" t="s">
        <v>523</v>
      </c>
      <c r="S52" s="35" t="s">
        <v>524</v>
      </c>
      <c r="T52" s="35" t="s">
        <v>525</v>
      </c>
      <c r="U52" s="35" t="s">
        <v>526</v>
      </c>
      <c r="V52" s="35" t="s">
        <v>527</v>
      </c>
      <c r="W52" s="39">
        <f>AVERAGE(C53:V53)</f>
        <v>0</v>
      </c>
      <c r="X52" s="80"/>
      <c r="Y52" s="80"/>
      <c r="Z52" s="80"/>
      <c r="AA52" s="80"/>
    </row>
    <row r="53" spans="1:27" ht="24.75" customHeight="1" thickBot="1">
      <c r="A53" s="85"/>
      <c r="B53" s="31"/>
      <c r="C53" s="20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3">
        <v>0</v>
      </c>
      <c r="U53" s="23">
        <v>0</v>
      </c>
      <c r="V53" s="24">
        <v>0</v>
      </c>
      <c r="W53" s="44"/>
      <c r="X53" s="80"/>
      <c r="Y53" s="80"/>
      <c r="Z53" s="80"/>
      <c r="AA53" s="80"/>
    </row>
    <row r="54" spans="1:27" ht="24.75" customHeight="1">
      <c r="A54" s="85"/>
      <c r="B54" s="30" t="s">
        <v>1024</v>
      </c>
      <c r="C54" s="35" t="s">
        <v>116</v>
      </c>
      <c r="D54" s="35" t="s">
        <v>528</v>
      </c>
      <c r="E54" s="35" t="s">
        <v>529</v>
      </c>
      <c r="F54" s="35" t="s">
        <v>530</v>
      </c>
      <c r="G54" s="35" t="s">
        <v>531</v>
      </c>
      <c r="H54" s="35" t="s">
        <v>532</v>
      </c>
      <c r="I54" s="35" t="s">
        <v>533</v>
      </c>
      <c r="J54" s="35" t="s">
        <v>534</v>
      </c>
      <c r="K54" s="35" t="s">
        <v>535</v>
      </c>
      <c r="L54" s="35" t="s">
        <v>536</v>
      </c>
      <c r="M54" s="35" t="s">
        <v>537</v>
      </c>
      <c r="N54" s="35" t="s">
        <v>538</v>
      </c>
      <c r="O54" s="35" t="s">
        <v>539</v>
      </c>
      <c r="P54" s="35" t="s">
        <v>540</v>
      </c>
      <c r="Q54" s="35" t="s">
        <v>541</v>
      </c>
      <c r="R54" s="35" t="s">
        <v>542</v>
      </c>
      <c r="S54" s="35" t="s">
        <v>543</v>
      </c>
      <c r="T54" s="35" t="s">
        <v>544</v>
      </c>
      <c r="U54" s="35" t="s">
        <v>545</v>
      </c>
      <c r="V54" s="35" t="s">
        <v>546</v>
      </c>
      <c r="W54" s="39">
        <f>AVERAGE(C55:V55)</f>
        <v>0</v>
      </c>
      <c r="X54" s="80"/>
      <c r="Y54" s="80"/>
      <c r="Z54" s="80"/>
      <c r="AA54" s="80"/>
    </row>
    <row r="55" spans="1:27" ht="24.75" customHeight="1" thickBot="1">
      <c r="A55" s="85"/>
      <c r="B55" s="31"/>
      <c r="C55" s="20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3">
        <v>0</v>
      </c>
      <c r="U55" s="23">
        <v>0</v>
      </c>
      <c r="V55" s="24">
        <v>0</v>
      </c>
      <c r="W55" s="44"/>
      <c r="X55" s="80"/>
      <c r="Y55" s="80"/>
      <c r="Z55" s="80"/>
      <c r="AA55" s="80"/>
    </row>
    <row r="56" spans="1:27" ht="24.75" customHeight="1">
      <c r="A56" s="85"/>
      <c r="B56" s="30" t="s">
        <v>1025</v>
      </c>
      <c r="C56" s="35" t="s">
        <v>117</v>
      </c>
      <c r="D56" s="35" t="s">
        <v>547</v>
      </c>
      <c r="E56" s="35" t="s">
        <v>548</v>
      </c>
      <c r="F56" s="35" t="s">
        <v>549</v>
      </c>
      <c r="G56" s="35" t="s">
        <v>550</v>
      </c>
      <c r="H56" s="35" t="s">
        <v>551</v>
      </c>
      <c r="I56" s="35" t="s">
        <v>552</v>
      </c>
      <c r="J56" s="35" t="s">
        <v>553</v>
      </c>
      <c r="K56" s="35" t="s">
        <v>554</v>
      </c>
      <c r="L56" s="35" t="s">
        <v>555</v>
      </c>
      <c r="M56" s="35" t="s">
        <v>556</v>
      </c>
      <c r="N56" s="35" t="s">
        <v>557</v>
      </c>
      <c r="O56" s="35" t="s">
        <v>558</v>
      </c>
      <c r="P56" s="35" t="s">
        <v>559</v>
      </c>
      <c r="Q56" s="35" t="s">
        <v>560</v>
      </c>
      <c r="R56" s="35" t="s">
        <v>561</v>
      </c>
      <c r="S56" s="35" t="s">
        <v>562</v>
      </c>
      <c r="T56" s="35" t="s">
        <v>563</v>
      </c>
      <c r="U56" s="35" t="s">
        <v>564</v>
      </c>
      <c r="V56" s="35" t="s">
        <v>565</v>
      </c>
      <c r="W56" s="39">
        <f>AVERAGE(C57:V57)</f>
        <v>0</v>
      </c>
      <c r="X56" s="80"/>
      <c r="Y56" s="80"/>
      <c r="Z56" s="80"/>
      <c r="AA56" s="80"/>
    </row>
    <row r="57" spans="1:27" ht="24.75" customHeight="1" thickBot="1">
      <c r="A57" s="85"/>
      <c r="B57" s="31"/>
      <c r="C57" s="20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3">
        <v>0</v>
      </c>
      <c r="U57" s="23">
        <v>0</v>
      </c>
      <c r="V57" s="24">
        <v>0</v>
      </c>
      <c r="W57" s="44"/>
      <c r="X57" s="80"/>
      <c r="Y57" s="80"/>
      <c r="Z57" s="80"/>
      <c r="AA57" s="80"/>
    </row>
    <row r="58" spans="1:27" ht="24.75" customHeight="1">
      <c r="A58" s="85"/>
      <c r="B58" s="30" t="s">
        <v>1026</v>
      </c>
      <c r="C58" s="35" t="s">
        <v>118</v>
      </c>
      <c r="D58" s="35" t="s">
        <v>566</v>
      </c>
      <c r="E58" s="35" t="s">
        <v>567</v>
      </c>
      <c r="F58" s="35" t="s">
        <v>568</v>
      </c>
      <c r="G58" s="35" t="s">
        <v>569</v>
      </c>
      <c r="H58" s="35" t="s">
        <v>570</v>
      </c>
      <c r="I58" s="35" t="s">
        <v>571</v>
      </c>
      <c r="J58" s="35" t="s">
        <v>572</v>
      </c>
      <c r="K58" s="35" t="s">
        <v>573</v>
      </c>
      <c r="L58" s="35" t="s">
        <v>574</v>
      </c>
      <c r="M58" s="35" t="s">
        <v>575</v>
      </c>
      <c r="N58" s="35" t="s">
        <v>576</v>
      </c>
      <c r="O58" s="35" t="s">
        <v>577</v>
      </c>
      <c r="P58" s="35" t="s">
        <v>578</v>
      </c>
      <c r="Q58" s="35" t="s">
        <v>579</v>
      </c>
      <c r="R58" s="35" t="s">
        <v>580</v>
      </c>
      <c r="S58" s="35" t="s">
        <v>581</v>
      </c>
      <c r="T58" s="35" t="s">
        <v>582</v>
      </c>
      <c r="U58" s="35" t="s">
        <v>583</v>
      </c>
      <c r="V58" s="35" t="s">
        <v>584</v>
      </c>
      <c r="W58" s="39">
        <f>AVERAGE(C59:V59)</f>
        <v>0</v>
      </c>
      <c r="X58" s="80"/>
      <c r="Y58" s="80"/>
      <c r="Z58" s="80"/>
      <c r="AA58" s="80"/>
    </row>
    <row r="59" spans="1:27" ht="24.75" customHeight="1" thickBot="1">
      <c r="A59" s="85"/>
      <c r="B59" s="31"/>
      <c r="C59" s="20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3">
        <v>0</v>
      </c>
      <c r="U59" s="23">
        <v>0</v>
      </c>
      <c r="V59" s="24">
        <v>0</v>
      </c>
      <c r="W59" s="44"/>
      <c r="X59" s="80"/>
      <c r="Y59" s="80"/>
      <c r="Z59" s="80"/>
      <c r="AA59" s="80"/>
    </row>
    <row r="60" spans="1:27" ht="24.75" customHeight="1">
      <c r="A60" s="85"/>
      <c r="B60" s="30" t="s">
        <v>1027</v>
      </c>
      <c r="C60" s="35" t="s">
        <v>119</v>
      </c>
      <c r="D60" s="35" t="s">
        <v>585</v>
      </c>
      <c r="E60" s="35" t="s">
        <v>586</v>
      </c>
      <c r="F60" s="35" t="s">
        <v>587</v>
      </c>
      <c r="G60" s="35" t="s">
        <v>588</v>
      </c>
      <c r="H60" s="35" t="s">
        <v>589</v>
      </c>
      <c r="I60" s="35" t="s">
        <v>590</v>
      </c>
      <c r="J60" s="35" t="s">
        <v>591</v>
      </c>
      <c r="K60" s="35" t="s">
        <v>592</v>
      </c>
      <c r="L60" s="35" t="s">
        <v>593</v>
      </c>
      <c r="M60" s="35" t="s">
        <v>594</v>
      </c>
      <c r="N60" s="35" t="s">
        <v>595</v>
      </c>
      <c r="O60" s="35" t="s">
        <v>596</v>
      </c>
      <c r="P60" s="35" t="s">
        <v>597</v>
      </c>
      <c r="Q60" s="35" t="s">
        <v>598</v>
      </c>
      <c r="R60" s="35" t="s">
        <v>599</v>
      </c>
      <c r="S60" s="35" t="s">
        <v>600</v>
      </c>
      <c r="T60" s="35" t="s">
        <v>601</v>
      </c>
      <c r="U60" s="35" t="s">
        <v>602</v>
      </c>
      <c r="V60" s="35" t="s">
        <v>603</v>
      </c>
      <c r="W60" s="39">
        <f>AVERAGE(C61:V61)</f>
        <v>0</v>
      </c>
      <c r="X60" s="80"/>
      <c r="Y60" s="80"/>
      <c r="Z60" s="80"/>
      <c r="AA60" s="80"/>
    </row>
    <row r="61" spans="1:27" ht="24.75" customHeight="1" thickBot="1">
      <c r="A61" s="85"/>
      <c r="B61" s="31"/>
      <c r="C61" s="20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3">
        <v>0</v>
      </c>
      <c r="U61" s="23">
        <v>0</v>
      </c>
      <c r="V61" s="24">
        <v>0</v>
      </c>
      <c r="W61" s="44"/>
      <c r="X61" s="80"/>
      <c r="Y61" s="80"/>
      <c r="Z61" s="80"/>
      <c r="AA61" s="80"/>
    </row>
    <row r="62" spans="1:27" ht="24.75" customHeight="1">
      <c r="A62" s="85"/>
      <c r="B62" s="30" t="s">
        <v>1028</v>
      </c>
      <c r="C62" s="35" t="s">
        <v>120</v>
      </c>
      <c r="D62" s="35" t="s">
        <v>604</v>
      </c>
      <c r="E62" s="35" t="s">
        <v>605</v>
      </c>
      <c r="F62" s="35" t="s">
        <v>606</v>
      </c>
      <c r="G62" s="35" t="s">
        <v>607</v>
      </c>
      <c r="H62" s="35" t="s">
        <v>608</v>
      </c>
      <c r="I62" s="35" t="s">
        <v>609</v>
      </c>
      <c r="J62" s="35" t="s">
        <v>610</v>
      </c>
      <c r="K62" s="35" t="s">
        <v>611</v>
      </c>
      <c r="L62" s="35" t="s">
        <v>612</v>
      </c>
      <c r="M62" s="35" t="s">
        <v>613</v>
      </c>
      <c r="N62" s="35" t="s">
        <v>614</v>
      </c>
      <c r="O62" s="35" t="s">
        <v>615</v>
      </c>
      <c r="P62" s="35" t="s">
        <v>616</v>
      </c>
      <c r="Q62" s="35" t="s">
        <v>617</v>
      </c>
      <c r="R62" s="35" t="s">
        <v>618</v>
      </c>
      <c r="S62" s="35" t="s">
        <v>619</v>
      </c>
      <c r="T62" s="35" t="s">
        <v>620</v>
      </c>
      <c r="U62" s="35" t="s">
        <v>621</v>
      </c>
      <c r="V62" s="35" t="s">
        <v>622</v>
      </c>
      <c r="W62" s="39">
        <f>AVERAGE(C63:V63)</f>
        <v>0</v>
      </c>
      <c r="X62" s="80"/>
      <c r="Y62" s="80"/>
      <c r="Z62" s="80"/>
      <c r="AA62" s="80"/>
    </row>
    <row r="63" spans="1:27" ht="24.75" customHeight="1" thickBot="1">
      <c r="A63" s="85"/>
      <c r="B63" s="31"/>
      <c r="C63" s="20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3">
        <v>0</v>
      </c>
      <c r="U63" s="23">
        <v>0</v>
      </c>
      <c r="V63" s="24">
        <v>0</v>
      </c>
      <c r="W63" s="44"/>
      <c r="X63" s="80"/>
      <c r="Y63" s="80"/>
      <c r="Z63" s="80"/>
      <c r="AA63" s="80"/>
    </row>
    <row r="64" spans="1:27" ht="24.75" customHeight="1">
      <c r="A64" s="85"/>
      <c r="B64" s="30" t="s">
        <v>1029</v>
      </c>
      <c r="C64" s="35" t="s">
        <v>121</v>
      </c>
      <c r="D64" s="35" t="s">
        <v>623</v>
      </c>
      <c r="E64" s="35" t="s">
        <v>624</v>
      </c>
      <c r="F64" s="35" t="s">
        <v>625</v>
      </c>
      <c r="G64" s="35" t="s">
        <v>626</v>
      </c>
      <c r="H64" s="35" t="s">
        <v>627</v>
      </c>
      <c r="I64" s="35" t="s">
        <v>628</v>
      </c>
      <c r="J64" s="35" t="s">
        <v>629</v>
      </c>
      <c r="K64" s="35" t="s">
        <v>630</v>
      </c>
      <c r="L64" s="35" t="s">
        <v>631</v>
      </c>
      <c r="M64" s="35" t="s">
        <v>632</v>
      </c>
      <c r="N64" s="35" t="s">
        <v>633</v>
      </c>
      <c r="O64" s="35" t="s">
        <v>634</v>
      </c>
      <c r="P64" s="35" t="s">
        <v>635</v>
      </c>
      <c r="Q64" s="35" t="s">
        <v>636</v>
      </c>
      <c r="R64" s="35" t="s">
        <v>637</v>
      </c>
      <c r="S64" s="35" t="s">
        <v>638</v>
      </c>
      <c r="T64" s="35" t="s">
        <v>639</v>
      </c>
      <c r="U64" s="35" t="s">
        <v>640</v>
      </c>
      <c r="V64" s="35" t="s">
        <v>641</v>
      </c>
      <c r="W64" s="39">
        <f>AVERAGE(C65:V65)</f>
        <v>0</v>
      </c>
      <c r="X64" s="80"/>
      <c r="Y64" s="80"/>
      <c r="Z64" s="80"/>
      <c r="AA64" s="80"/>
    </row>
    <row r="65" spans="1:27" ht="24.75" customHeight="1" thickBot="1">
      <c r="A65" s="85"/>
      <c r="B65" s="31"/>
      <c r="C65" s="20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3">
        <v>0</v>
      </c>
      <c r="U65" s="23">
        <v>0</v>
      </c>
      <c r="V65" s="24">
        <v>0</v>
      </c>
      <c r="W65" s="44"/>
      <c r="X65" s="80"/>
      <c r="Y65" s="80"/>
      <c r="Z65" s="80"/>
      <c r="AA65" s="80"/>
    </row>
    <row r="66" spans="1:27" ht="24.75" customHeight="1">
      <c r="A66" s="85"/>
      <c r="B66" s="30" t="s">
        <v>1030</v>
      </c>
      <c r="C66" s="35" t="s">
        <v>122</v>
      </c>
      <c r="D66" s="35" t="s">
        <v>642</v>
      </c>
      <c r="E66" s="35" t="s">
        <v>643</v>
      </c>
      <c r="F66" s="35" t="s">
        <v>644</v>
      </c>
      <c r="G66" s="35" t="s">
        <v>645</v>
      </c>
      <c r="H66" s="35" t="s">
        <v>646</v>
      </c>
      <c r="I66" s="35" t="s">
        <v>647</v>
      </c>
      <c r="J66" s="35" t="s">
        <v>648</v>
      </c>
      <c r="K66" s="35" t="s">
        <v>649</v>
      </c>
      <c r="L66" s="35" t="s">
        <v>650</v>
      </c>
      <c r="M66" s="35" t="s">
        <v>651</v>
      </c>
      <c r="N66" s="35" t="s">
        <v>652</v>
      </c>
      <c r="O66" s="35" t="s">
        <v>653</v>
      </c>
      <c r="P66" s="35" t="s">
        <v>654</v>
      </c>
      <c r="Q66" s="35" t="s">
        <v>655</v>
      </c>
      <c r="R66" s="35" t="s">
        <v>656</v>
      </c>
      <c r="S66" s="35" t="s">
        <v>657</v>
      </c>
      <c r="T66" s="35" t="s">
        <v>658</v>
      </c>
      <c r="U66" s="35" t="s">
        <v>659</v>
      </c>
      <c r="V66" s="35" t="s">
        <v>660</v>
      </c>
      <c r="W66" s="39">
        <f>AVERAGE(C67:V67)</f>
        <v>0</v>
      </c>
      <c r="X66" s="80"/>
      <c r="Y66" s="80"/>
      <c r="Z66" s="80"/>
      <c r="AA66" s="80"/>
    </row>
    <row r="67" spans="1:27" ht="24.75" customHeight="1" thickBot="1">
      <c r="A67" s="85"/>
      <c r="B67" s="31"/>
      <c r="C67" s="20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3">
        <v>0</v>
      </c>
      <c r="U67" s="23">
        <v>0</v>
      </c>
      <c r="V67" s="24">
        <v>0</v>
      </c>
      <c r="W67" s="44"/>
      <c r="X67" s="80"/>
      <c r="Y67" s="80"/>
      <c r="Z67" s="80"/>
      <c r="AA67" s="80"/>
    </row>
    <row r="68" spans="1:27" ht="24.75" customHeight="1">
      <c r="A68" s="85"/>
      <c r="B68" s="30" t="s">
        <v>1031</v>
      </c>
      <c r="C68" s="35" t="s">
        <v>123</v>
      </c>
      <c r="D68" s="35" t="s">
        <v>661</v>
      </c>
      <c r="E68" s="35" t="s">
        <v>662</v>
      </c>
      <c r="F68" s="35" t="s">
        <v>663</v>
      </c>
      <c r="G68" s="35" t="s">
        <v>664</v>
      </c>
      <c r="H68" s="35" t="s">
        <v>665</v>
      </c>
      <c r="I68" s="35" t="s">
        <v>666</v>
      </c>
      <c r="J68" s="35" t="s">
        <v>667</v>
      </c>
      <c r="K68" s="35" t="s">
        <v>668</v>
      </c>
      <c r="L68" s="35" t="s">
        <v>669</v>
      </c>
      <c r="M68" s="35" t="s">
        <v>670</v>
      </c>
      <c r="N68" s="35" t="s">
        <v>671</v>
      </c>
      <c r="O68" s="35" t="s">
        <v>672</v>
      </c>
      <c r="P68" s="35" t="s">
        <v>673</v>
      </c>
      <c r="Q68" s="35" t="s">
        <v>674</v>
      </c>
      <c r="R68" s="35" t="s">
        <v>675</v>
      </c>
      <c r="S68" s="35" t="s">
        <v>676</v>
      </c>
      <c r="T68" s="35" t="s">
        <v>677</v>
      </c>
      <c r="U68" s="35" t="s">
        <v>678</v>
      </c>
      <c r="V68" s="35" t="s">
        <v>679</v>
      </c>
      <c r="W68" s="39">
        <f>AVERAGE(C69:V69)</f>
        <v>0</v>
      </c>
      <c r="X68" s="80"/>
      <c r="Y68" s="80"/>
      <c r="Z68" s="80"/>
      <c r="AA68" s="80"/>
    </row>
    <row r="69" spans="1:27" ht="24.75" customHeight="1" thickBot="1">
      <c r="A69" s="85"/>
      <c r="B69" s="31"/>
      <c r="C69" s="20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3">
        <v>0</v>
      </c>
      <c r="U69" s="23">
        <v>0</v>
      </c>
      <c r="V69" s="24">
        <v>0</v>
      </c>
      <c r="W69" s="44"/>
      <c r="X69" s="80"/>
      <c r="Y69" s="80"/>
      <c r="Z69" s="80"/>
      <c r="AA69" s="80"/>
    </row>
    <row r="70" spans="1:27" ht="24.75" customHeight="1">
      <c r="A70" s="85"/>
      <c r="B70" s="30" t="s">
        <v>1032</v>
      </c>
      <c r="C70" s="35" t="s">
        <v>124</v>
      </c>
      <c r="D70" s="35" t="s">
        <v>680</v>
      </c>
      <c r="E70" s="35" t="s">
        <v>681</v>
      </c>
      <c r="F70" s="35" t="s">
        <v>682</v>
      </c>
      <c r="G70" s="35" t="s">
        <v>683</v>
      </c>
      <c r="H70" s="35" t="s">
        <v>684</v>
      </c>
      <c r="I70" s="35" t="s">
        <v>685</v>
      </c>
      <c r="J70" s="35" t="s">
        <v>686</v>
      </c>
      <c r="K70" s="35" t="s">
        <v>687</v>
      </c>
      <c r="L70" s="35" t="s">
        <v>688</v>
      </c>
      <c r="M70" s="35" t="s">
        <v>689</v>
      </c>
      <c r="N70" s="35" t="s">
        <v>690</v>
      </c>
      <c r="O70" s="35" t="s">
        <v>691</v>
      </c>
      <c r="P70" s="35" t="s">
        <v>692</v>
      </c>
      <c r="Q70" s="35" t="s">
        <v>693</v>
      </c>
      <c r="R70" s="35" t="s">
        <v>694</v>
      </c>
      <c r="S70" s="35" t="s">
        <v>695</v>
      </c>
      <c r="T70" s="35" t="s">
        <v>696</v>
      </c>
      <c r="U70" s="35" t="s">
        <v>697</v>
      </c>
      <c r="V70" s="35" t="s">
        <v>698</v>
      </c>
      <c r="W70" s="39">
        <f>AVERAGE(C71:V71)</f>
        <v>0</v>
      </c>
      <c r="X70" s="80"/>
      <c r="Y70" s="80"/>
      <c r="Z70" s="80"/>
      <c r="AA70" s="80"/>
    </row>
    <row r="71" spans="1:27" ht="24.75" customHeight="1" thickBot="1">
      <c r="A71" s="85"/>
      <c r="B71" s="31"/>
      <c r="C71" s="20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3">
        <v>0</v>
      </c>
      <c r="U71" s="23">
        <v>0</v>
      </c>
      <c r="V71" s="24">
        <v>0</v>
      </c>
      <c r="W71" s="44"/>
      <c r="X71" s="80"/>
      <c r="Y71" s="80"/>
      <c r="Z71" s="80"/>
      <c r="AA71" s="80"/>
    </row>
    <row r="72" spans="1:27" ht="24.75" customHeight="1">
      <c r="A72" s="85"/>
      <c r="B72" s="30" t="s">
        <v>1033</v>
      </c>
      <c r="C72" s="35" t="s">
        <v>125</v>
      </c>
      <c r="D72" s="35" t="s">
        <v>699</v>
      </c>
      <c r="E72" s="35" t="s">
        <v>700</v>
      </c>
      <c r="F72" s="35" t="s">
        <v>701</v>
      </c>
      <c r="G72" s="35" t="s">
        <v>702</v>
      </c>
      <c r="H72" s="35" t="s">
        <v>703</v>
      </c>
      <c r="I72" s="35" t="s">
        <v>704</v>
      </c>
      <c r="J72" s="35" t="s">
        <v>705</v>
      </c>
      <c r="K72" s="35" t="s">
        <v>706</v>
      </c>
      <c r="L72" s="35" t="s">
        <v>707</v>
      </c>
      <c r="M72" s="35" t="s">
        <v>708</v>
      </c>
      <c r="N72" s="35" t="s">
        <v>709</v>
      </c>
      <c r="O72" s="35" t="s">
        <v>710</v>
      </c>
      <c r="P72" s="35" t="s">
        <v>711</v>
      </c>
      <c r="Q72" s="35" t="s">
        <v>712</v>
      </c>
      <c r="R72" s="35" t="s">
        <v>713</v>
      </c>
      <c r="S72" s="35" t="s">
        <v>714</v>
      </c>
      <c r="T72" s="35" t="s">
        <v>715</v>
      </c>
      <c r="U72" s="35" t="s">
        <v>716</v>
      </c>
      <c r="V72" s="35" t="s">
        <v>717</v>
      </c>
      <c r="W72" s="39">
        <f>AVERAGE(C73:V73)</f>
        <v>0</v>
      </c>
      <c r="X72" s="80"/>
      <c r="Y72" s="80"/>
      <c r="Z72" s="80"/>
      <c r="AA72" s="80"/>
    </row>
    <row r="73" spans="1:27" ht="24.75" customHeight="1" thickBot="1">
      <c r="A73" s="85"/>
      <c r="B73" s="31"/>
      <c r="C73" s="20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3">
        <v>0</v>
      </c>
      <c r="U73" s="23">
        <v>0</v>
      </c>
      <c r="V73" s="24">
        <v>0</v>
      </c>
      <c r="W73" s="44"/>
      <c r="X73" s="80"/>
      <c r="Y73" s="80"/>
      <c r="Z73" s="80"/>
      <c r="AA73" s="80"/>
    </row>
    <row r="74" spans="1:27" ht="24.75" customHeight="1">
      <c r="A74" s="85"/>
      <c r="B74" s="30" t="s">
        <v>1034</v>
      </c>
      <c r="C74" s="35" t="s">
        <v>126</v>
      </c>
      <c r="D74" s="35" t="s">
        <v>718</v>
      </c>
      <c r="E74" s="35" t="s">
        <v>719</v>
      </c>
      <c r="F74" s="35" t="s">
        <v>720</v>
      </c>
      <c r="G74" s="35" t="s">
        <v>721</v>
      </c>
      <c r="H74" s="35" t="s">
        <v>722</v>
      </c>
      <c r="I74" s="35" t="s">
        <v>723</v>
      </c>
      <c r="J74" s="35" t="s">
        <v>724</v>
      </c>
      <c r="K74" s="35" t="s">
        <v>725</v>
      </c>
      <c r="L74" s="35" t="s">
        <v>726</v>
      </c>
      <c r="M74" s="35" t="s">
        <v>727</v>
      </c>
      <c r="N74" s="35" t="s">
        <v>728</v>
      </c>
      <c r="O74" s="35" t="s">
        <v>729</v>
      </c>
      <c r="P74" s="35" t="s">
        <v>730</v>
      </c>
      <c r="Q74" s="35" t="s">
        <v>731</v>
      </c>
      <c r="R74" s="35" t="s">
        <v>732</v>
      </c>
      <c r="S74" s="35" t="s">
        <v>733</v>
      </c>
      <c r="T74" s="35" t="s">
        <v>734</v>
      </c>
      <c r="U74" s="35" t="s">
        <v>735</v>
      </c>
      <c r="V74" s="35" t="s">
        <v>736</v>
      </c>
      <c r="W74" s="39">
        <f>AVERAGE(C75:V75)</f>
        <v>0</v>
      </c>
      <c r="X74" s="80"/>
      <c r="Y74" s="80"/>
      <c r="Z74" s="80"/>
      <c r="AA74" s="80"/>
    </row>
    <row r="75" spans="1:27" ht="24.75" customHeight="1" thickBot="1">
      <c r="A75" s="85"/>
      <c r="B75" s="31"/>
      <c r="C75" s="20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3">
        <v>0</v>
      </c>
      <c r="U75" s="23">
        <v>0</v>
      </c>
      <c r="V75" s="24">
        <v>0</v>
      </c>
      <c r="W75" s="44"/>
      <c r="X75" s="80"/>
      <c r="Y75" s="80"/>
      <c r="Z75" s="80"/>
      <c r="AA75" s="80"/>
    </row>
    <row r="76" spans="1:27" ht="24.75" customHeight="1">
      <c r="A76" s="85"/>
      <c r="B76" s="30" t="s">
        <v>1035</v>
      </c>
      <c r="C76" s="35" t="s">
        <v>127</v>
      </c>
      <c r="D76" s="35" t="s">
        <v>737</v>
      </c>
      <c r="E76" s="35" t="s">
        <v>738</v>
      </c>
      <c r="F76" s="35" t="s">
        <v>739</v>
      </c>
      <c r="G76" s="35" t="s">
        <v>740</v>
      </c>
      <c r="H76" s="35" t="s">
        <v>741</v>
      </c>
      <c r="I76" s="35" t="s">
        <v>742</v>
      </c>
      <c r="J76" s="35" t="s">
        <v>743</v>
      </c>
      <c r="K76" s="35" t="s">
        <v>744</v>
      </c>
      <c r="L76" s="35" t="s">
        <v>745</v>
      </c>
      <c r="M76" s="35" t="s">
        <v>746</v>
      </c>
      <c r="N76" s="35" t="s">
        <v>747</v>
      </c>
      <c r="O76" s="35" t="s">
        <v>748</v>
      </c>
      <c r="P76" s="35" t="s">
        <v>749</v>
      </c>
      <c r="Q76" s="35" t="s">
        <v>750</v>
      </c>
      <c r="R76" s="35" t="s">
        <v>751</v>
      </c>
      <c r="S76" s="35" t="s">
        <v>752</v>
      </c>
      <c r="T76" s="35" t="s">
        <v>753</v>
      </c>
      <c r="U76" s="35" t="s">
        <v>754</v>
      </c>
      <c r="V76" s="35" t="s">
        <v>755</v>
      </c>
      <c r="W76" s="39">
        <f>AVERAGE(C77:V77)</f>
        <v>0</v>
      </c>
      <c r="X76" s="80"/>
      <c r="Y76" s="80"/>
      <c r="Z76" s="80"/>
      <c r="AA76" s="80"/>
    </row>
    <row r="77" spans="1:27" ht="24.75" customHeight="1" thickBot="1">
      <c r="A77" s="85"/>
      <c r="B77" s="31"/>
      <c r="C77" s="20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3">
        <v>0</v>
      </c>
      <c r="U77" s="23">
        <v>0</v>
      </c>
      <c r="V77" s="24">
        <v>0</v>
      </c>
      <c r="W77" s="44"/>
      <c r="X77" s="80"/>
      <c r="Y77" s="80"/>
      <c r="Z77" s="80"/>
      <c r="AA77" s="80"/>
    </row>
    <row r="78" spans="1:27" ht="24.75" customHeight="1">
      <c r="A78" s="85"/>
      <c r="B78" s="30" t="s">
        <v>1036</v>
      </c>
      <c r="C78" s="35" t="s">
        <v>128</v>
      </c>
      <c r="D78" s="35" t="s">
        <v>756</v>
      </c>
      <c r="E78" s="35" t="s">
        <v>757</v>
      </c>
      <c r="F78" s="35" t="s">
        <v>758</v>
      </c>
      <c r="G78" s="35" t="s">
        <v>759</v>
      </c>
      <c r="H78" s="35" t="s">
        <v>760</v>
      </c>
      <c r="I78" s="35" t="s">
        <v>761</v>
      </c>
      <c r="J78" s="35" t="s">
        <v>762</v>
      </c>
      <c r="K78" s="35" t="s">
        <v>763</v>
      </c>
      <c r="L78" s="35" t="s">
        <v>764</v>
      </c>
      <c r="M78" s="35" t="s">
        <v>765</v>
      </c>
      <c r="N78" s="35" t="s">
        <v>766</v>
      </c>
      <c r="O78" s="35" t="s">
        <v>767</v>
      </c>
      <c r="P78" s="35" t="s">
        <v>768</v>
      </c>
      <c r="Q78" s="35" t="s">
        <v>769</v>
      </c>
      <c r="R78" s="35" t="s">
        <v>770</v>
      </c>
      <c r="S78" s="35" t="s">
        <v>771</v>
      </c>
      <c r="T78" s="35" t="s">
        <v>772</v>
      </c>
      <c r="U78" s="35" t="s">
        <v>773</v>
      </c>
      <c r="V78" s="35" t="s">
        <v>774</v>
      </c>
      <c r="W78" s="39">
        <f>AVERAGE(C79:V79)</f>
        <v>0</v>
      </c>
      <c r="X78" s="80"/>
      <c r="Y78" s="80"/>
      <c r="Z78" s="80"/>
      <c r="AA78" s="80"/>
    </row>
    <row r="79" spans="1:27" ht="24.75" customHeight="1" thickBot="1">
      <c r="A79" s="85"/>
      <c r="B79" s="31"/>
      <c r="C79" s="20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3">
        <v>0</v>
      </c>
      <c r="U79" s="23">
        <v>0</v>
      </c>
      <c r="V79" s="24">
        <v>0</v>
      </c>
      <c r="W79" s="44"/>
      <c r="X79" s="80"/>
      <c r="Y79" s="80"/>
      <c r="Z79" s="80"/>
      <c r="AA79" s="80"/>
    </row>
    <row r="80" spans="1:27" ht="24.75" customHeight="1">
      <c r="A80" s="85"/>
      <c r="B80" s="30" t="s">
        <v>1037</v>
      </c>
      <c r="C80" s="35" t="s">
        <v>129</v>
      </c>
      <c r="D80" s="35" t="s">
        <v>775</v>
      </c>
      <c r="E80" s="35" t="s">
        <v>776</v>
      </c>
      <c r="F80" s="35" t="s">
        <v>777</v>
      </c>
      <c r="G80" s="35" t="s">
        <v>778</v>
      </c>
      <c r="H80" s="35" t="s">
        <v>779</v>
      </c>
      <c r="I80" s="35" t="s">
        <v>780</v>
      </c>
      <c r="J80" s="35" t="s">
        <v>781</v>
      </c>
      <c r="K80" s="35" t="s">
        <v>782</v>
      </c>
      <c r="L80" s="35" t="s">
        <v>783</v>
      </c>
      <c r="M80" s="35" t="s">
        <v>784</v>
      </c>
      <c r="N80" s="35" t="s">
        <v>785</v>
      </c>
      <c r="O80" s="35" t="s">
        <v>786</v>
      </c>
      <c r="P80" s="35" t="s">
        <v>787</v>
      </c>
      <c r="Q80" s="35" t="s">
        <v>788</v>
      </c>
      <c r="R80" s="35" t="s">
        <v>789</v>
      </c>
      <c r="S80" s="35" t="s">
        <v>790</v>
      </c>
      <c r="T80" s="35" t="s">
        <v>791</v>
      </c>
      <c r="U80" s="35" t="s">
        <v>792</v>
      </c>
      <c r="V80" s="35" t="s">
        <v>793</v>
      </c>
      <c r="W80" s="39">
        <f>AVERAGE(C81:V81)</f>
        <v>0</v>
      </c>
      <c r="X80" s="80"/>
      <c r="Y80" s="80"/>
      <c r="Z80" s="80"/>
      <c r="AA80" s="80"/>
    </row>
    <row r="81" spans="1:27" ht="24.75" customHeight="1" thickBot="1">
      <c r="A81" s="85"/>
      <c r="B81" s="31"/>
      <c r="C81" s="20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3">
        <v>0</v>
      </c>
      <c r="U81" s="23">
        <v>0</v>
      </c>
      <c r="V81" s="24">
        <v>0</v>
      </c>
      <c r="W81" s="44"/>
      <c r="X81" s="80"/>
      <c r="Y81" s="80"/>
      <c r="Z81" s="80"/>
      <c r="AA81" s="80"/>
    </row>
    <row r="82" spans="1:27" ht="24.75" customHeight="1">
      <c r="A82" s="85"/>
      <c r="B82" s="30" t="s">
        <v>1038</v>
      </c>
      <c r="C82" s="35" t="s">
        <v>130</v>
      </c>
      <c r="D82" s="35" t="s">
        <v>131</v>
      </c>
      <c r="E82" s="35" t="s">
        <v>132</v>
      </c>
      <c r="F82" s="35" t="s">
        <v>133</v>
      </c>
      <c r="G82" s="35" t="s">
        <v>134</v>
      </c>
      <c r="H82" s="35" t="s">
        <v>135</v>
      </c>
      <c r="I82" s="35" t="s">
        <v>136</v>
      </c>
      <c r="J82" s="35" t="s">
        <v>137</v>
      </c>
      <c r="K82" s="35" t="s">
        <v>138</v>
      </c>
      <c r="L82" s="35" t="s">
        <v>139</v>
      </c>
      <c r="M82" s="35" t="s">
        <v>140</v>
      </c>
      <c r="N82" s="35" t="s">
        <v>141</v>
      </c>
      <c r="O82" s="35" t="s">
        <v>142</v>
      </c>
      <c r="P82" s="35" t="s">
        <v>143</v>
      </c>
      <c r="Q82" s="35" t="s">
        <v>144</v>
      </c>
      <c r="R82" s="35" t="s">
        <v>145</v>
      </c>
      <c r="S82" s="35" t="s">
        <v>146</v>
      </c>
      <c r="T82" s="35" t="s">
        <v>147</v>
      </c>
      <c r="U82" s="35" t="s">
        <v>148</v>
      </c>
      <c r="V82" s="35" t="s">
        <v>149</v>
      </c>
      <c r="W82" s="39">
        <f>AVERAGE(C83:V83)</f>
        <v>0</v>
      </c>
      <c r="X82" s="80"/>
      <c r="Y82" s="80"/>
      <c r="Z82" s="80"/>
      <c r="AA82" s="80"/>
    </row>
    <row r="83" spans="1:27" ht="24.75" customHeight="1" thickBot="1">
      <c r="A83" s="85"/>
      <c r="B83" s="31"/>
      <c r="C83" s="20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3">
        <v>0</v>
      </c>
      <c r="U83" s="23">
        <v>0</v>
      </c>
      <c r="V83" s="24">
        <v>0</v>
      </c>
      <c r="W83" s="44"/>
      <c r="X83" s="80"/>
      <c r="Y83" s="80"/>
      <c r="Z83" s="80"/>
      <c r="AA83" s="80"/>
    </row>
    <row r="84" spans="1:27" ht="24.75" customHeight="1">
      <c r="A84" s="85"/>
      <c r="B84" s="30" t="s">
        <v>1039</v>
      </c>
      <c r="C84" s="35" t="s">
        <v>150</v>
      </c>
      <c r="D84" s="35" t="s">
        <v>794</v>
      </c>
      <c r="E84" s="35" t="s">
        <v>795</v>
      </c>
      <c r="F84" s="35" t="s">
        <v>796</v>
      </c>
      <c r="G84" s="35" t="s">
        <v>797</v>
      </c>
      <c r="H84" s="35" t="s">
        <v>798</v>
      </c>
      <c r="I84" s="35" t="s">
        <v>799</v>
      </c>
      <c r="J84" s="35" t="s">
        <v>800</v>
      </c>
      <c r="K84" s="35" t="s">
        <v>801</v>
      </c>
      <c r="L84" s="35" t="s">
        <v>802</v>
      </c>
      <c r="M84" s="35" t="s">
        <v>803</v>
      </c>
      <c r="N84" s="35" t="s">
        <v>804</v>
      </c>
      <c r="O84" s="35" t="s">
        <v>805</v>
      </c>
      <c r="P84" s="35" t="s">
        <v>806</v>
      </c>
      <c r="Q84" s="35" t="s">
        <v>807</v>
      </c>
      <c r="R84" s="35" t="s">
        <v>808</v>
      </c>
      <c r="S84" s="35" t="s">
        <v>809</v>
      </c>
      <c r="T84" s="35" t="s">
        <v>810</v>
      </c>
      <c r="U84" s="35" t="s">
        <v>811</v>
      </c>
      <c r="V84" s="35" t="s">
        <v>812</v>
      </c>
      <c r="W84" s="39">
        <f>AVERAGE(C85:V85)</f>
        <v>0</v>
      </c>
      <c r="X84" s="80"/>
      <c r="Y84" s="80"/>
      <c r="Z84" s="80"/>
      <c r="AA84" s="80"/>
    </row>
    <row r="85" spans="1:27" ht="24.75" customHeight="1" thickBot="1">
      <c r="A85" s="85"/>
      <c r="B85" s="31"/>
      <c r="C85" s="20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3">
        <v>0</v>
      </c>
      <c r="U85" s="23">
        <v>0</v>
      </c>
      <c r="V85" s="24">
        <v>0</v>
      </c>
      <c r="W85" s="44"/>
      <c r="X85" s="80"/>
      <c r="Y85" s="80"/>
      <c r="Z85" s="80"/>
      <c r="AA85" s="80"/>
    </row>
    <row r="86" spans="1:27" ht="24.75" customHeight="1">
      <c r="A86" s="85"/>
      <c r="B86" s="30" t="s">
        <v>1040</v>
      </c>
      <c r="C86" s="35" t="s">
        <v>151</v>
      </c>
      <c r="D86" s="35" t="s">
        <v>813</v>
      </c>
      <c r="E86" s="35" t="s">
        <v>814</v>
      </c>
      <c r="F86" s="35" t="s">
        <v>815</v>
      </c>
      <c r="G86" s="35" t="s">
        <v>816</v>
      </c>
      <c r="H86" s="35" t="s">
        <v>817</v>
      </c>
      <c r="I86" s="35" t="s">
        <v>818</v>
      </c>
      <c r="J86" s="35" t="s">
        <v>819</v>
      </c>
      <c r="K86" s="35" t="s">
        <v>820</v>
      </c>
      <c r="L86" s="35" t="s">
        <v>821</v>
      </c>
      <c r="M86" s="35" t="s">
        <v>822</v>
      </c>
      <c r="N86" s="35" t="s">
        <v>823</v>
      </c>
      <c r="O86" s="35" t="s">
        <v>824</v>
      </c>
      <c r="P86" s="35" t="s">
        <v>825</v>
      </c>
      <c r="Q86" s="35" t="s">
        <v>826</v>
      </c>
      <c r="R86" s="35" t="s">
        <v>827</v>
      </c>
      <c r="S86" s="35" t="s">
        <v>828</v>
      </c>
      <c r="T86" s="35" t="s">
        <v>829</v>
      </c>
      <c r="U86" s="35" t="s">
        <v>830</v>
      </c>
      <c r="V86" s="35" t="s">
        <v>831</v>
      </c>
      <c r="W86" s="39">
        <f>AVERAGE(C87:V87)</f>
        <v>0</v>
      </c>
      <c r="X86" s="80"/>
      <c r="Y86" s="80"/>
      <c r="Z86" s="80"/>
      <c r="AA86" s="80"/>
    </row>
    <row r="87" spans="1:27" ht="24.75" customHeight="1" thickBot="1">
      <c r="A87" s="85"/>
      <c r="B87" s="31"/>
      <c r="C87" s="20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3">
        <v>0</v>
      </c>
      <c r="U87" s="23">
        <v>0</v>
      </c>
      <c r="V87" s="24">
        <v>0</v>
      </c>
      <c r="W87" s="44"/>
      <c r="X87" s="80"/>
      <c r="Y87" s="80"/>
      <c r="Z87" s="80"/>
      <c r="AA87" s="80"/>
    </row>
    <row r="88" spans="1:27" ht="24.75" customHeight="1">
      <c r="A88" s="85"/>
      <c r="B88" s="30" t="s">
        <v>1041</v>
      </c>
      <c r="C88" s="35" t="s">
        <v>152</v>
      </c>
      <c r="D88" s="35" t="s">
        <v>832</v>
      </c>
      <c r="E88" s="35" t="s">
        <v>833</v>
      </c>
      <c r="F88" s="35" t="s">
        <v>834</v>
      </c>
      <c r="G88" s="35" t="s">
        <v>835</v>
      </c>
      <c r="H88" s="35" t="s">
        <v>836</v>
      </c>
      <c r="I88" s="35" t="s">
        <v>837</v>
      </c>
      <c r="J88" s="35" t="s">
        <v>838</v>
      </c>
      <c r="K88" s="35" t="s">
        <v>839</v>
      </c>
      <c r="L88" s="35" t="s">
        <v>840</v>
      </c>
      <c r="M88" s="35" t="s">
        <v>841</v>
      </c>
      <c r="N88" s="35" t="s">
        <v>842</v>
      </c>
      <c r="O88" s="35" t="s">
        <v>843</v>
      </c>
      <c r="P88" s="35" t="s">
        <v>844</v>
      </c>
      <c r="Q88" s="35" t="s">
        <v>845</v>
      </c>
      <c r="R88" s="35" t="s">
        <v>846</v>
      </c>
      <c r="S88" s="35" t="s">
        <v>847</v>
      </c>
      <c r="T88" s="35" t="s">
        <v>848</v>
      </c>
      <c r="U88" s="35" t="s">
        <v>849</v>
      </c>
      <c r="V88" s="35" t="s">
        <v>850</v>
      </c>
      <c r="W88" s="39">
        <f>AVERAGE(C89:V89)</f>
        <v>0</v>
      </c>
      <c r="X88" s="80"/>
      <c r="Y88" s="80"/>
      <c r="Z88" s="80"/>
      <c r="AA88" s="80"/>
    </row>
    <row r="89" spans="1:27" ht="24.75" customHeight="1" thickBot="1">
      <c r="A89" s="85"/>
      <c r="B89" s="31"/>
      <c r="C89" s="20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3">
        <v>0</v>
      </c>
      <c r="U89" s="23">
        <v>0</v>
      </c>
      <c r="V89" s="24">
        <v>0</v>
      </c>
      <c r="W89" s="44"/>
      <c r="X89" s="80"/>
      <c r="Y89" s="80"/>
      <c r="Z89" s="80"/>
      <c r="AA89" s="80"/>
    </row>
    <row r="90" spans="1:27" ht="24.75" customHeight="1">
      <c r="A90" s="85"/>
      <c r="B90" s="30" t="s">
        <v>1042</v>
      </c>
      <c r="C90" s="35" t="s">
        <v>153</v>
      </c>
      <c r="D90" s="35" t="s">
        <v>851</v>
      </c>
      <c r="E90" s="35" t="s">
        <v>852</v>
      </c>
      <c r="F90" s="35" t="s">
        <v>853</v>
      </c>
      <c r="G90" s="35" t="s">
        <v>854</v>
      </c>
      <c r="H90" s="35" t="s">
        <v>855</v>
      </c>
      <c r="I90" s="35" t="s">
        <v>856</v>
      </c>
      <c r="J90" s="35" t="s">
        <v>857</v>
      </c>
      <c r="K90" s="35" t="s">
        <v>858</v>
      </c>
      <c r="L90" s="35" t="s">
        <v>859</v>
      </c>
      <c r="M90" s="35" t="s">
        <v>860</v>
      </c>
      <c r="N90" s="35" t="s">
        <v>861</v>
      </c>
      <c r="O90" s="35" t="s">
        <v>862</v>
      </c>
      <c r="P90" s="35" t="s">
        <v>863</v>
      </c>
      <c r="Q90" s="35" t="s">
        <v>864</v>
      </c>
      <c r="R90" s="35" t="s">
        <v>865</v>
      </c>
      <c r="S90" s="35" t="s">
        <v>866</v>
      </c>
      <c r="T90" s="35" t="s">
        <v>867</v>
      </c>
      <c r="U90" s="35" t="s">
        <v>868</v>
      </c>
      <c r="V90" s="35" t="s">
        <v>869</v>
      </c>
      <c r="W90" s="39">
        <f>AVERAGE(C91:V91)</f>
        <v>0</v>
      </c>
      <c r="X90" s="80"/>
      <c r="Y90" s="80"/>
      <c r="Z90" s="80"/>
      <c r="AA90" s="80"/>
    </row>
    <row r="91" spans="1:27" ht="24.75" customHeight="1" thickBot="1">
      <c r="A91" s="85"/>
      <c r="B91" s="31"/>
      <c r="C91" s="20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3">
        <v>0</v>
      </c>
      <c r="U91" s="23">
        <v>0</v>
      </c>
      <c r="V91" s="24">
        <v>0</v>
      </c>
      <c r="W91" s="44"/>
      <c r="X91" s="80"/>
      <c r="Y91" s="80"/>
      <c r="Z91" s="80"/>
      <c r="AA91" s="80"/>
    </row>
    <row r="92" spans="1:27" ht="24.75" customHeight="1">
      <c r="A92" s="85"/>
      <c r="B92" s="32" t="s">
        <v>1043</v>
      </c>
      <c r="C92" s="35" t="s">
        <v>154</v>
      </c>
      <c r="D92" s="35" t="s">
        <v>870</v>
      </c>
      <c r="E92" s="35" t="s">
        <v>871</v>
      </c>
      <c r="F92" s="35" t="s">
        <v>872</v>
      </c>
      <c r="G92" s="35" t="s">
        <v>873</v>
      </c>
      <c r="H92" s="35" t="s">
        <v>874</v>
      </c>
      <c r="I92" s="35" t="s">
        <v>875</v>
      </c>
      <c r="J92" s="35" t="s">
        <v>876</v>
      </c>
      <c r="K92" s="35" t="s">
        <v>877</v>
      </c>
      <c r="L92" s="35" t="s">
        <v>878</v>
      </c>
      <c r="M92" s="35" t="s">
        <v>879</v>
      </c>
      <c r="N92" s="35" t="s">
        <v>880</v>
      </c>
      <c r="O92" s="35" t="s">
        <v>881</v>
      </c>
      <c r="P92" s="35" t="s">
        <v>882</v>
      </c>
      <c r="Q92" s="35" t="s">
        <v>883</v>
      </c>
      <c r="R92" s="35" t="s">
        <v>884</v>
      </c>
      <c r="S92" s="35" t="s">
        <v>885</v>
      </c>
      <c r="T92" s="35" t="s">
        <v>886</v>
      </c>
      <c r="U92" s="35" t="s">
        <v>887</v>
      </c>
      <c r="V92" s="35" t="s">
        <v>888</v>
      </c>
      <c r="W92" s="39">
        <f>AVERAGE(C93:V93)</f>
        <v>0</v>
      </c>
      <c r="X92" s="80"/>
      <c r="Y92" s="80"/>
      <c r="Z92" s="80"/>
      <c r="AA92" s="80"/>
    </row>
    <row r="93" spans="1:27" ht="24.75" customHeight="1" thickBot="1">
      <c r="A93" s="85"/>
      <c r="B93" s="33"/>
      <c r="C93" s="20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3">
        <v>0</v>
      </c>
      <c r="U93" s="23">
        <v>0</v>
      </c>
      <c r="V93" s="24">
        <v>0</v>
      </c>
      <c r="W93" s="44"/>
      <c r="X93" s="80"/>
      <c r="Y93" s="80"/>
      <c r="Z93" s="80"/>
      <c r="AA93" s="80"/>
    </row>
    <row r="94" spans="1:27" ht="24.75" customHeight="1">
      <c r="A94" s="85"/>
      <c r="B94" s="30" t="s">
        <v>1044</v>
      </c>
      <c r="C94" s="35" t="s">
        <v>155</v>
      </c>
      <c r="D94" s="35" t="s">
        <v>889</v>
      </c>
      <c r="E94" s="35" t="s">
        <v>890</v>
      </c>
      <c r="F94" s="35" t="s">
        <v>891</v>
      </c>
      <c r="G94" s="35" t="s">
        <v>892</v>
      </c>
      <c r="H94" s="35" t="s">
        <v>893</v>
      </c>
      <c r="I94" s="35" t="s">
        <v>894</v>
      </c>
      <c r="J94" s="35" t="s">
        <v>895</v>
      </c>
      <c r="K94" s="35" t="s">
        <v>896</v>
      </c>
      <c r="L94" s="35" t="s">
        <v>897</v>
      </c>
      <c r="M94" s="35" t="s">
        <v>898</v>
      </c>
      <c r="N94" s="35" t="s">
        <v>899</v>
      </c>
      <c r="O94" s="35" t="s">
        <v>900</v>
      </c>
      <c r="P94" s="35" t="s">
        <v>901</v>
      </c>
      <c r="Q94" s="35" t="s">
        <v>902</v>
      </c>
      <c r="R94" s="35" t="s">
        <v>903</v>
      </c>
      <c r="S94" s="35" t="s">
        <v>904</v>
      </c>
      <c r="T94" s="35" t="s">
        <v>905</v>
      </c>
      <c r="U94" s="35" t="s">
        <v>906</v>
      </c>
      <c r="V94" s="35" t="s">
        <v>907</v>
      </c>
      <c r="W94" s="39">
        <f>AVERAGE(C95:V95)</f>
        <v>0</v>
      </c>
      <c r="X94" s="80"/>
      <c r="Y94" s="80"/>
      <c r="Z94" s="80"/>
      <c r="AA94" s="80"/>
    </row>
    <row r="95" spans="1:27" ht="24.75" customHeight="1" thickBot="1">
      <c r="A95" s="85"/>
      <c r="B95" s="31"/>
      <c r="C95" s="20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3">
        <v>0</v>
      </c>
      <c r="U95" s="23">
        <v>0</v>
      </c>
      <c r="V95" s="24">
        <v>0</v>
      </c>
      <c r="W95" s="44"/>
      <c r="X95" s="80"/>
      <c r="Y95" s="80"/>
      <c r="Z95" s="80"/>
      <c r="AA95" s="80"/>
    </row>
    <row r="96" spans="1:27" ht="24.75" customHeight="1">
      <c r="A96" s="85"/>
      <c r="B96" s="30" t="s">
        <v>1045</v>
      </c>
      <c r="C96" s="35" t="s">
        <v>156</v>
      </c>
      <c r="D96" s="35" t="s">
        <v>908</v>
      </c>
      <c r="E96" s="35" t="s">
        <v>909</v>
      </c>
      <c r="F96" s="35" t="s">
        <v>910</v>
      </c>
      <c r="G96" s="35" t="s">
        <v>911</v>
      </c>
      <c r="H96" s="35" t="s">
        <v>912</v>
      </c>
      <c r="I96" s="35" t="s">
        <v>913</v>
      </c>
      <c r="J96" s="35" t="s">
        <v>914</v>
      </c>
      <c r="K96" s="35" t="s">
        <v>915</v>
      </c>
      <c r="L96" s="35" t="s">
        <v>916</v>
      </c>
      <c r="M96" s="35" t="s">
        <v>917</v>
      </c>
      <c r="N96" s="35" t="s">
        <v>918</v>
      </c>
      <c r="O96" s="35" t="s">
        <v>919</v>
      </c>
      <c r="P96" s="35" t="s">
        <v>920</v>
      </c>
      <c r="Q96" s="35" t="s">
        <v>921</v>
      </c>
      <c r="R96" s="35" t="s">
        <v>922</v>
      </c>
      <c r="S96" s="35" t="s">
        <v>923</v>
      </c>
      <c r="T96" s="35" t="s">
        <v>924</v>
      </c>
      <c r="U96" s="35" t="s">
        <v>925</v>
      </c>
      <c r="V96" s="35" t="s">
        <v>926</v>
      </c>
      <c r="W96" s="39">
        <f>AVERAGE(C97:V97)</f>
        <v>0</v>
      </c>
      <c r="X96" s="80"/>
      <c r="Y96" s="80"/>
      <c r="Z96" s="80"/>
      <c r="AA96" s="80"/>
    </row>
    <row r="97" spans="1:27" ht="24.75" customHeight="1" thickBot="1">
      <c r="A97" s="85"/>
      <c r="B97" s="31"/>
      <c r="C97" s="20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3">
        <v>0</v>
      </c>
      <c r="U97" s="23">
        <v>0</v>
      </c>
      <c r="V97" s="24">
        <v>0</v>
      </c>
      <c r="W97" s="44"/>
      <c r="X97" s="80"/>
      <c r="Y97" s="80"/>
      <c r="Z97" s="80"/>
      <c r="AA97" s="80"/>
    </row>
    <row r="98" spans="1:27" ht="24.75" customHeight="1">
      <c r="A98" s="85"/>
      <c r="B98" s="30" t="s">
        <v>1046</v>
      </c>
      <c r="C98" s="35" t="s">
        <v>157</v>
      </c>
      <c r="D98" s="35" t="s">
        <v>927</v>
      </c>
      <c r="E98" s="35" t="s">
        <v>928</v>
      </c>
      <c r="F98" s="35" t="s">
        <v>929</v>
      </c>
      <c r="G98" s="35" t="s">
        <v>930</v>
      </c>
      <c r="H98" s="35" t="s">
        <v>931</v>
      </c>
      <c r="I98" s="35" t="s">
        <v>932</v>
      </c>
      <c r="J98" s="35" t="s">
        <v>933</v>
      </c>
      <c r="K98" s="35" t="s">
        <v>934</v>
      </c>
      <c r="L98" s="35" t="s">
        <v>935</v>
      </c>
      <c r="M98" s="35" t="s">
        <v>936</v>
      </c>
      <c r="N98" s="35" t="s">
        <v>937</v>
      </c>
      <c r="O98" s="35" t="s">
        <v>938</v>
      </c>
      <c r="P98" s="35" t="s">
        <v>939</v>
      </c>
      <c r="Q98" s="35" t="s">
        <v>940</v>
      </c>
      <c r="R98" s="35" t="s">
        <v>941</v>
      </c>
      <c r="S98" s="35" t="s">
        <v>942</v>
      </c>
      <c r="T98" s="35" t="s">
        <v>943</v>
      </c>
      <c r="U98" s="35" t="s">
        <v>944</v>
      </c>
      <c r="V98" s="35" t="s">
        <v>945</v>
      </c>
      <c r="W98" s="39">
        <f>AVERAGE(C99:V99)</f>
        <v>0</v>
      </c>
      <c r="X98" s="80"/>
      <c r="Y98" s="80"/>
      <c r="Z98" s="80"/>
      <c r="AA98" s="80"/>
    </row>
    <row r="99" spans="1:27" ht="24.75" customHeight="1" thickBot="1">
      <c r="A99" s="85"/>
      <c r="B99" s="31"/>
      <c r="C99" s="20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3">
        <v>0</v>
      </c>
      <c r="U99" s="23">
        <v>0</v>
      </c>
      <c r="V99" s="24">
        <v>0</v>
      </c>
      <c r="W99" s="44"/>
      <c r="X99" s="80"/>
      <c r="Y99" s="80"/>
      <c r="Z99" s="80"/>
      <c r="AA99" s="80"/>
    </row>
    <row r="100" spans="1:27" ht="24.75" customHeight="1">
      <c r="A100" s="85"/>
      <c r="B100" s="30" t="s">
        <v>1047</v>
      </c>
      <c r="C100" s="35" t="s">
        <v>158</v>
      </c>
      <c r="D100" s="35" t="s">
        <v>946</v>
      </c>
      <c r="E100" s="35" t="s">
        <v>947</v>
      </c>
      <c r="F100" s="35" t="s">
        <v>948</v>
      </c>
      <c r="G100" s="35" t="s">
        <v>949</v>
      </c>
      <c r="H100" s="35" t="s">
        <v>950</v>
      </c>
      <c r="I100" s="35" t="s">
        <v>951</v>
      </c>
      <c r="J100" s="35" t="s">
        <v>952</v>
      </c>
      <c r="K100" s="35" t="s">
        <v>953</v>
      </c>
      <c r="L100" s="35" t="s">
        <v>954</v>
      </c>
      <c r="M100" s="35" t="s">
        <v>955</v>
      </c>
      <c r="N100" s="35" t="s">
        <v>956</v>
      </c>
      <c r="O100" s="35" t="s">
        <v>957</v>
      </c>
      <c r="P100" s="35" t="s">
        <v>958</v>
      </c>
      <c r="Q100" s="35" t="s">
        <v>959</v>
      </c>
      <c r="R100" s="35" t="s">
        <v>960</v>
      </c>
      <c r="S100" s="35" t="s">
        <v>961</v>
      </c>
      <c r="T100" s="35" t="s">
        <v>962</v>
      </c>
      <c r="U100" s="35" t="s">
        <v>963</v>
      </c>
      <c r="V100" s="35" t="s">
        <v>964</v>
      </c>
      <c r="W100" s="39">
        <f>AVERAGE(C101:V101)</f>
        <v>0</v>
      </c>
      <c r="X100" s="80"/>
      <c r="Y100" s="80"/>
      <c r="Z100" s="80"/>
      <c r="AA100" s="80"/>
    </row>
    <row r="101" spans="1:27" ht="24.75" customHeight="1" thickBot="1">
      <c r="A101" s="85"/>
      <c r="B101" s="31"/>
      <c r="C101" s="20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3">
        <v>0</v>
      </c>
      <c r="U101" s="23">
        <v>0</v>
      </c>
      <c r="V101" s="24">
        <v>0</v>
      </c>
      <c r="W101" s="44"/>
      <c r="X101" s="80"/>
      <c r="Y101" s="80"/>
      <c r="Z101" s="80"/>
      <c r="AA101" s="80"/>
    </row>
    <row r="102" spans="1:27" ht="24.75" customHeight="1">
      <c r="A102" s="85"/>
      <c r="B102" s="30" t="s">
        <v>1048</v>
      </c>
      <c r="C102" s="35" t="s">
        <v>159</v>
      </c>
      <c r="D102" s="35" t="s">
        <v>965</v>
      </c>
      <c r="E102" s="35" t="s">
        <v>966</v>
      </c>
      <c r="F102" s="35" t="s">
        <v>967</v>
      </c>
      <c r="G102" s="35" t="s">
        <v>968</v>
      </c>
      <c r="H102" s="35" t="s">
        <v>969</v>
      </c>
      <c r="I102" s="35" t="s">
        <v>970</v>
      </c>
      <c r="J102" s="35" t="s">
        <v>971</v>
      </c>
      <c r="K102" s="35" t="s">
        <v>972</v>
      </c>
      <c r="L102" s="35" t="s">
        <v>973</v>
      </c>
      <c r="M102" s="35" t="s">
        <v>974</v>
      </c>
      <c r="N102" s="35" t="s">
        <v>975</v>
      </c>
      <c r="O102" s="35" t="s">
        <v>976</v>
      </c>
      <c r="P102" s="35" t="s">
        <v>977</v>
      </c>
      <c r="Q102" s="35" t="s">
        <v>978</v>
      </c>
      <c r="R102" s="35" t="s">
        <v>979</v>
      </c>
      <c r="S102" s="35" t="s">
        <v>980</v>
      </c>
      <c r="T102" s="35" t="s">
        <v>981</v>
      </c>
      <c r="U102" s="35" t="s">
        <v>982</v>
      </c>
      <c r="V102" s="35" t="s">
        <v>983</v>
      </c>
      <c r="W102" s="39">
        <f>AVERAGE(C103:V103)</f>
        <v>0</v>
      </c>
      <c r="X102" s="80"/>
      <c r="Y102" s="80"/>
      <c r="Z102" s="80"/>
      <c r="AA102" s="80"/>
    </row>
    <row r="103" spans="1:27" ht="24.75" customHeight="1" thickBot="1">
      <c r="A103" s="85"/>
      <c r="B103" s="31"/>
      <c r="C103" s="20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3">
        <v>0</v>
      </c>
      <c r="U103" s="23">
        <v>0</v>
      </c>
      <c r="V103" s="24">
        <v>0</v>
      </c>
      <c r="W103" s="44"/>
      <c r="X103" s="80"/>
      <c r="Y103" s="80"/>
      <c r="Z103" s="80"/>
      <c r="AA103" s="80"/>
    </row>
    <row r="104" spans="1:27" ht="24.75" customHeight="1">
      <c r="A104" s="85"/>
      <c r="B104" s="30" t="s">
        <v>1049</v>
      </c>
      <c r="C104" s="35" t="s">
        <v>160</v>
      </c>
      <c r="D104" s="35" t="s">
        <v>984</v>
      </c>
      <c r="E104" s="35" t="s">
        <v>985</v>
      </c>
      <c r="F104" s="35" t="s">
        <v>986</v>
      </c>
      <c r="G104" s="35" t="s">
        <v>987</v>
      </c>
      <c r="H104" s="35" t="s">
        <v>988</v>
      </c>
      <c r="I104" s="35" t="s">
        <v>989</v>
      </c>
      <c r="J104" s="35" t="s">
        <v>990</v>
      </c>
      <c r="K104" s="35" t="s">
        <v>991</v>
      </c>
      <c r="L104" s="35" t="s">
        <v>992</v>
      </c>
      <c r="M104" s="35" t="s">
        <v>993</v>
      </c>
      <c r="N104" s="35" t="s">
        <v>994</v>
      </c>
      <c r="O104" s="35" t="s">
        <v>995</v>
      </c>
      <c r="P104" s="35" t="s">
        <v>996</v>
      </c>
      <c r="Q104" s="35" t="s">
        <v>997</v>
      </c>
      <c r="R104" s="35" t="s">
        <v>998</v>
      </c>
      <c r="S104" s="35" t="s">
        <v>999</v>
      </c>
      <c r="T104" s="35" t="s">
        <v>1000</v>
      </c>
      <c r="U104" s="35" t="s">
        <v>1001</v>
      </c>
      <c r="V104" s="35" t="s">
        <v>1002</v>
      </c>
      <c r="W104" s="39">
        <f>AVERAGE(C105:V105)</f>
        <v>0</v>
      </c>
      <c r="X104" s="80"/>
      <c r="Y104" s="80"/>
      <c r="Z104" s="80"/>
      <c r="AA104" s="80"/>
    </row>
    <row r="105" spans="1:27" ht="24.75" customHeight="1" thickBot="1">
      <c r="A105" s="85"/>
      <c r="B105" s="31"/>
      <c r="C105" s="20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3">
        <v>0</v>
      </c>
      <c r="U105" s="23">
        <v>0</v>
      </c>
      <c r="V105" s="24">
        <v>0</v>
      </c>
      <c r="W105" s="44"/>
      <c r="X105" s="80"/>
      <c r="Y105" s="80"/>
      <c r="Z105" s="80"/>
      <c r="AA105" s="80"/>
    </row>
    <row r="106" spans="1:27" ht="24.75" customHeight="1">
      <c r="A106" s="85"/>
      <c r="B106" s="30" t="s">
        <v>7</v>
      </c>
      <c r="C106" s="35" t="s">
        <v>161</v>
      </c>
      <c r="D106" s="35" t="s">
        <v>176</v>
      </c>
      <c r="E106" s="35" t="s">
        <v>177</v>
      </c>
      <c r="F106" s="35" t="s">
        <v>178</v>
      </c>
      <c r="G106" s="35" t="s">
        <v>179</v>
      </c>
      <c r="H106" s="35" t="s">
        <v>180</v>
      </c>
      <c r="I106" s="35" t="s">
        <v>181</v>
      </c>
      <c r="J106" s="35" t="s">
        <v>182</v>
      </c>
      <c r="K106" s="35" t="s">
        <v>183</v>
      </c>
      <c r="L106" s="35" t="s">
        <v>184</v>
      </c>
      <c r="M106" s="35" t="s">
        <v>185</v>
      </c>
      <c r="N106" s="47"/>
      <c r="O106" s="48"/>
      <c r="P106" s="48"/>
      <c r="Q106" s="48"/>
      <c r="R106" s="48"/>
      <c r="S106" s="48"/>
      <c r="T106" s="48"/>
      <c r="U106" s="48"/>
      <c r="V106" s="49"/>
      <c r="W106" s="39">
        <f>AVERAGE(C107:V107)</f>
        <v>0</v>
      </c>
      <c r="X106" s="80"/>
      <c r="Y106" s="80"/>
      <c r="Z106" s="80"/>
      <c r="AA106" s="80"/>
    </row>
    <row r="107" spans="1:27" ht="24.75" customHeight="1" thickBot="1">
      <c r="A107" s="85"/>
      <c r="B107" s="31"/>
      <c r="C107" s="20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50"/>
      <c r="O107" s="40"/>
      <c r="P107" s="40"/>
      <c r="Q107" s="51"/>
      <c r="R107" s="51"/>
      <c r="S107" s="51"/>
      <c r="T107" s="52"/>
      <c r="U107" s="52"/>
      <c r="V107" s="53"/>
      <c r="W107" s="44"/>
      <c r="X107" s="80"/>
      <c r="Y107" s="80"/>
      <c r="Z107" s="80"/>
      <c r="AA107" s="80"/>
    </row>
    <row r="108" spans="1:27" ht="24.75" customHeight="1">
      <c r="A108" s="85"/>
      <c r="B108" s="30" t="s">
        <v>37</v>
      </c>
      <c r="C108" s="35" t="s">
        <v>162</v>
      </c>
      <c r="D108" s="35" t="s">
        <v>163</v>
      </c>
      <c r="E108" s="35" t="s">
        <v>164</v>
      </c>
      <c r="F108" s="35" t="s">
        <v>165</v>
      </c>
      <c r="G108" s="35" t="s">
        <v>166</v>
      </c>
      <c r="H108" s="35" t="s">
        <v>167</v>
      </c>
      <c r="I108" s="35" t="s">
        <v>168</v>
      </c>
      <c r="J108" s="35" t="s">
        <v>169</v>
      </c>
      <c r="K108" s="35" t="s">
        <v>170</v>
      </c>
      <c r="L108" s="35" t="s">
        <v>171</v>
      </c>
      <c r="M108" s="35" t="s">
        <v>172</v>
      </c>
      <c r="N108" s="45" t="s">
        <v>173</v>
      </c>
      <c r="O108" s="35" t="s">
        <v>174</v>
      </c>
      <c r="P108" s="35" t="s">
        <v>175</v>
      </c>
      <c r="Q108" s="54"/>
      <c r="R108" s="55"/>
      <c r="S108" s="55"/>
      <c r="T108" s="55"/>
      <c r="U108" s="55"/>
      <c r="V108" s="56"/>
      <c r="W108" s="39">
        <f>AVERAGE(C109:V109)</f>
        <v>0</v>
      </c>
      <c r="X108" s="80"/>
      <c r="Y108" s="80"/>
      <c r="Z108" s="80"/>
      <c r="AA108" s="80"/>
    </row>
    <row r="109" spans="1:27" ht="24.75" customHeight="1" thickBot="1">
      <c r="A109" s="85"/>
      <c r="B109" s="31"/>
      <c r="C109" s="20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2">
        <v>0</v>
      </c>
      <c r="O109" s="21">
        <v>0</v>
      </c>
      <c r="P109" s="21">
        <v>0</v>
      </c>
      <c r="Q109" s="50"/>
      <c r="R109" s="40"/>
      <c r="S109" s="40"/>
      <c r="T109" s="41"/>
      <c r="U109" s="41"/>
      <c r="V109" s="57"/>
      <c r="W109" s="44"/>
      <c r="X109" s="80"/>
      <c r="Y109" s="80"/>
      <c r="Z109" s="80"/>
      <c r="AA109" s="80"/>
    </row>
    <row r="110" spans="1:27" ht="31.5" customHeight="1">
      <c r="A110" s="86"/>
      <c r="B110" s="58" t="s">
        <v>3</v>
      </c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60"/>
      <c r="X110" s="81"/>
      <c r="Y110" s="81"/>
      <c r="Z110" s="81"/>
      <c r="AA110" s="81"/>
    </row>
    <row r="111" spans="1:27" ht="1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 spans="1:27" ht="12.7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 spans="1:27" ht="12.7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 spans="1:27" ht="12.7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 spans="1:27" ht="12.7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 spans="1:27" ht="12.7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 spans="1:27" ht="12.7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 spans="1:27" ht="12.7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 spans="1:27" ht="12.7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 spans="1:27" ht="12.7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 spans="1:27" ht="12.7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 spans="1:27" ht="12.7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 spans="1:27" ht="12.7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 spans="1:27" ht="12.7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 spans="1:27" ht="12.7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 spans="1:27" ht="12.7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 spans="1:27" ht="12.7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 spans="1:27" ht="12.7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 spans="1:27" ht="12.7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 spans="1:27" ht="12.7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 spans="1:27" ht="12.7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 spans="1:27" ht="12.7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 spans="1:27" ht="12.7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 spans="1:27" ht="12.7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 spans="1:27" ht="12.7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 spans="1:27" ht="12.7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 spans="1:27" ht="12.7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 spans="1:27" ht="12.7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 spans="1:27" ht="12.7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 spans="1:27" ht="12.7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 spans="1:27" ht="12.7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 spans="1:27" ht="12.7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 spans="1:27" ht="12.7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 spans="1:27" ht="12.7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 spans="1:27" ht="12.7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 spans="1:27" ht="12.7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 spans="1:27" ht="12.7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 spans="1:27" ht="12.7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 spans="1:27" ht="12.7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 spans="1:27" ht="12.7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 spans="1:27" ht="12.7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 spans="1:27" ht="12.7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 spans="1:27" ht="12.7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 spans="1:27" ht="12.7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 spans="1:27" ht="12.7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 spans="1:27" ht="12.7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 spans="1:27" ht="12.7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 spans="1:27" ht="12.7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 spans="1:27" ht="12.7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 spans="1:27" ht="12.7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 spans="1:27" ht="12.7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 spans="1:27" ht="12.7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 spans="1:27" ht="12.7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 spans="1:27" ht="12.7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 spans="1:27" ht="12.7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 spans="1:27" ht="12.7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 spans="1:27" ht="12.7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 spans="1:27" ht="12.7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 spans="1:27" ht="12.7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 spans="1:27" ht="12.7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 spans="1:27" ht="12.7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 spans="1:27" ht="12.7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 spans="1:27" ht="12.7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 spans="1:27" ht="12.7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 spans="1:27" ht="12.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 spans="1:27" ht="12.7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 spans="1:27" ht="12.7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 spans="1:27" ht="12.7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 spans="1:27" ht="12.7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 spans="1:27" ht="12.7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 spans="1:27" ht="12.7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 spans="1:27" ht="12.7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 spans="1:27" ht="12.7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 spans="1:27" ht="12.7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 spans="1:27" ht="12.7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 spans="1:27" ht="12.7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 spans="1:27" ht="12.7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 spans="1:27" ht="12.7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 spans="1:27" ht="12.7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 spans="1:27" ht="12.7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 spans="1:27" ht="12.7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 spans="1:27" ht="12.7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 spans="1:27" ht="12.7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 spans="1:27" ht="12.7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 spans="1:27" ht="12.7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 spans="1:27" ht="12.7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 spans="1:27" ht="12.7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 spans="1:27" ht="12.7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 spans="1:27" ht="12.7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 spans="1:27" ht="12.7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 spans="1:27" ht="12.7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 spans="1:27" ht="12.7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 spans="1:27" ht="12.7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 spans="1:27" ht="12.7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 spans="1:27" ht="12.7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 spans="1:27" ht="12.7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 spans="1:27" ht="12.7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 spans="1:27" ht="12.7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 spans="1:27" ht="12.7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 spans="1:27" ht="12.7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 spans="1:27" ht="12.7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 spans="1:27" ht="12.7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 spans="1:27" ht="12.7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 spans="1:27" ht="12.7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 spans="1:27" ht="12.7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 spans="1:27" ht="12.7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 spans="1:27" ht="12.7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 spans="1:27" ht="12.7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 spans="1:27" ht="12.7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 spans="1:27" ht="12.7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 spans="1:27" ht="12.7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 spans="1:27" ht="12.75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 spans="1:27" ht="12.75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 spans="1:27" ht="12.75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 spans="1:27" ht="12.7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 spans="1:27" ht="12.75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 spans="1:27" ht="12.75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 spans="1:27" ht="12.75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 spans="1:27" ht="12.75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 spans="1:27" ht="12.75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 spans="1:27" ht="12.75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 spans="1:27" ht="12.7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72"/>
      <c r="W232" s="80"/>
      <c r="X232" s="1"/>
      <c r="Y232" s="1"/>
      <c r="Z232" s="1"/>
      <c r="AA232" s="1"/>
    </row>
    <row r="233" spans="1:27" ht="12.7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72"/>
      <c r="W233" s="80"/>
      <c r="X233" s="1"/>
      <c r="Y233" s="1"/>
      <c r="Z233" s="1"/>
      <c r="AA233" s="1"/>
    </row>
    <row r="234" spans="1:27" ht="12.7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72"/>
      <c r="W234" s="80"/>
      <c r="X234" s="1"/>
      <c r="Y234" s="1"/>
      <c r="Z234" s="1"/>
      <c r="AA234" s="1"/>
    </row>
    <row r="235" spans="1:27" ht="12.7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72"/>
      <c r="W235" s="80"/>
      <c r="X235" s="1"/>
      <c r="Y235" s="1"/>
      <c r="Z235" s="1"/>
      <c r="AA235" s="1"/>
    </row>
    <row r="236" spans="1:27" ht="12.7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72"/>
      <c r="W236" s="80"/>
      <c r="X236" s="1"/>
      <c r="Y236" s="1"/>
      <c r="Z236" s="1"/>
      <c r="AA236" s="1"/>
    </row>
    <row r="237" spans="1:27" ht="12.7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72"/>
      <c r="W237" s="80"/>
      <c r="X237" s="1"/>
      <c r="Y237" s="1"/>
      <c r="Z237" s="1"/>
      <c r="AA237" s="1"/>
    </row>
    <row r="238" spans="1:27" ht="12.7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72"/>
      <c r="W238" s="80"/>
      <c r="X238" s="1"/>
      <c r="Y238" s="1"/>
      <c r="Z238" s="1"/>
      <c r="AA238" s="1"/>
    </row>
    <row r="239" spans="1:27" ht="12.7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72"/>
      <c r="W239" s="80"/>
      <c r="X239" s="1"/>
      <c r="Y239" s="1"/>
      <c r="Z239" s="1"/>
      <c r="AA239" s="1"/>
    </row>
    <row r="240" spans="1:27" ht="12.7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72"/>
      <c r="W240" s="80"/>
      <c r="X240" s="1"/>
      <c r="Y240" s="1"/>
      <c r="Z240" s="1"/>
      <c r="AA240" s="1"/>
    </row>
    <row r="241" spans="1:27" ht="12.7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72"/>
      <c r="W241" s="80"/>
      <c r="X241" s="1"/>
      <c r="Y241" s="1"/>
      <c r="Z241" s="1"/>
      <c r="AA241" s="1"/>
    </row>
    <row r="242" spans="1:27" ht="12.7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72"/>
      <c r="W242" s="80"/>
      <c r="X242" s="1"/>
      <c r="Y242" s="1"/>
      <c r="Z242" s="1"/>
      <c r="AA242" s="1"/>
    </row>
    <row r="243" spans="1:27" ht="12.7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72"/>
      <c r="W243" s="80"/>
      <c r="X243" s="1"/>
      <c r="Y243" s="1"/>
      <c r="Z243" s="1"/>
      <c r="AA243" s="1"/>
    </row>
    <row r="244" spans="1:27" ht="12.7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72"/>
      <c r="W244" s="80"/>
      <c r="X244" s="1"/>
      <c r="Y244" s="1"/>
      <c r="Z244" s="1"/>
      <c r="AA244" s="1"/>
    </row>
    <row r="245" spans="1:27" ht="12.7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72"/>
      <c r="W245" s="80"/>
      <c r="X245" s="1"/>
      <c r="Y245" s="1"/>
      <c r="Z245" s="1"/>
      <c r="AA245" s="1"/>
    </row>
    <row r="246" spans="1:27" ht="12.7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72"/>
      <c r="W246" s="80"/>
      <c r="X246" s="1"/>
      <c r="Y246" s="1"/>
      <c r="Z246" s="1"/>
      <c r="AA246" s="1"/>
    </row>
    <row r="247" spans="1:27" ht="12.7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72"/>
      <c r="W247" s="80"/>
      <c r="X247" s="1"/>
      <c r="Y247" s="1"/>
      <c r="Z247" s="1"/>
      <c r="AA247" s="1"/>
    </row>
    <row r="248" spans="1:27" ht="12.7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72"/>
      <c r="W248" s="80"/>
      <c r="X248" s="1"/>
      <c r="Y248" s="1"/>
      <c r="Z248" s="1"/>
      <c r="AA248" s="1"/>
    </row>
    <row r="249" spans="1:27" ht="12.7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72"/>
      <c r="W249" s="80"/>
      <c r="X249" s="1"/>
      <c r="Y249" s="1"/>
      <c r="Z249" s="1"/>
      <c r="AA249" s="1"/>
    </row>
    <row r="250" spans="1:27" ht="12.7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72"/>
      <c r="W250" s="80"/>
      <c r="X250" s="1"/>
      <c r="Y250" s="1"/>
      <c r="Z250" s="1"/>
      <c r="AA250" s="1"/>
    </row>
    <row r="251" spans="1:27" ht="12.7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72"/>
      <c r="W251" s="80"/>
      <c r="X251" s="1"/>
      <c r="Y251" s="1"/>
      <c r="Z251" s="1"/>
      <c r="AA251" s="1"/>
    </row>
    <row r="252" spans="1:27" ht="12.7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72"/>
      <c r="W252" s="80"/>
      <c r="X252" s="1"/>
      <c r="Y252" s="1"/>
      <c r="Z252" s="1"/>
      <c r="AA252" s="1"/>
    </row>
    <row r="253" spans="1:27" ht="12.7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72"/>
      <c r="W253" s="80"/>
      <c r="X253" s="1"/>
      <c r="Y253" s="1"/>
      <c r="Z253" s="1"/>
      <c r="AA253" s="1"/>
    </row>
    <row r="254" spans="1:27" ht="12.7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72"/>
      <c r="W254" s="80"/>
      <c r="X254" s="1"/>
      <c r="Y254" s="1"/>
      <c r="Z254" s="1"/>
      <c r="AA254" s="1"/>
    </row>
    <row r="255" spans="1:27" ht="12.7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72"/>
      <c r="W255" s="80"/>
      <c r="X255" s="1"/>
      <c r="Y255" s="1"/>
      <c r="Z255" s="1"/>
      <c r="AA255" s="1"/>
    </row>
    <row r="256" spans="1:27" ht="12.7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72"/>
      <c r="W256" s="80"/>
      <c r="X256" s="1"/>
      <c r="Y256" s="1"/>
      <c r="Z256" s="1"/>
      <c r="AA256" s="1"/>
    </row>
    <row r="257" spans="1:27" ht="12.7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72"/>
      <c r="W257" s="80"/>
      <c r="X257" s="1"/>
      <c r="Y257" s="1"/>
      <c r="Z257" s="1"/>
      <c r="AA257" s="1"/>
    </row>
    <row r="258" spans="1:27" ht="12.7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72"/>
      <c r="W258" s="80"/>
      <c r="X258" s="1"/>
      <c r="Y258" s="1"/>
      <c r="Z258" s="1"/>
      <c r="AA258" s="1"/>
    </row>
    <row r="259" spans="1:27" ht="12.7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72"/>
      <c r="W259" s="80"/>
      <c r="X259" s="1"/>
      <c r="Y259" s="1"/>
      <c r="Z259" s="1"/>
      <c r="AA259" s="1"/>
    </row>
    <row r="260" spans="1:27" ht="12.7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72"/>
      <c r="W260" s="80"/>
      <c r="X260" s="1"/>
      <c r="Y260" s="1"/>
      <c r="Z260" s="1"/>
      <c r="AA260" s="1"/>
    </row>
    <row r="261" spans="1:27" ht="12.7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72"/>
      <c r="W261" s="80"/>
      <c r="X261" s="1"/>
      <c r="Y261" s="1"/>
      <c r="Z261" s="1"/>
      <c r="AA261" s="1"/>
    </row>
    <row r="262" spans="1:27" ht="12.7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72"/>
      <c r="W262" s="80"/>
      <c r="X262" s="1"/>
      <c r="Y262" s="1"/>
      <c r="Z262" s="1"/>
      <c r="AA262" s="1"/>
    </row>
    <row r="263" spans="1:27" ht="12.7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72"/>
      <c r="W263" s="80"/>
      <c r="X263" s="1"/>
      <c r="Y263" s="1"/>
      <c r="Z263" s="1"/>
      <c r="AA263" s="1"/>
    </row>
    <row r="264" spans="1:27" ht="12.7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72"/>
      <c r="W264" s="80"/>
      <c r="X264" s="1"/>
      <c r="Y264" s="1"/>
      <c r="Z264" s="1"/>
      <c r="AA264" s="1"/>
    </row>
    <row r="265" spans="1:27" ht="12.7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72"/>
      <c r="W265" s="80"/>
      <c r="X265" s="1"/>
      <c r="Y265" s="1"/>
      <c r="Z265" s="1"/>
      <c r="AA265" s="1"/>
    </row>
    <row r="266" spans="1:27" ht="12.7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72"/>
      <c r="W266" s="80"/>
      <c r="X266" s="1"/>
      <c r="Y266" s="1"/>
      <c r="Z266" s="1"/>
      <c r="AA266" s="1"/>
    </row>
    <row r="267" spans="1:27" ht="12.7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72"/>
      <c r="W267" s="80"/>
      <c r="X267" s="1"/>
      <c r="Y267" s="1"/>
      <c r="Z267" s="1"/>
      <c r="AA267" s="1"/>
    </row>
    <row r="268" spans="1:27" ht="12.7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72"/>
      <c r="W268" s="80"/>
      <c r="X268" s="1"/>
      <c r="Y268" s="1"/>
      <c r="Z268" s="1"/>
      <c r="AA268" s="1"/>
    </row>
    <row r="269" spans="1:27" ht="12.7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72"/>
      <c r="W269" s="80"/>
      <c r="X269" s="1"/>
      <c r="Y269" s="1"/>
      <c r="Z269" s="1"/>
      <c r="AA269" s="1"/>
    </row>
    <row r="270" spans="1:27" ht="12.7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72"/>
      <c r="W270" s="80"/>
      <c r="X270" s="1"/>
      <c r="Y270" s="1"/>
      <c r="Z270" s="1"/>
      <c r="AA270" s="1"/>
    </row>
    <row r="271" spans="1:27" ht="12.7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72"/>
      <c r="W271" s="80"/>
      <c r="X271" s="1"/>
      <c r="Y271" s="1"/>
      <c r="Z271" s="1"/>
      <c r="AA271" s="1"/>
    </row>
    <row r="272" spans="1:27" ht="12.7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72"/>
      <c r="W272" s="80"/>
      <c r="X272" s="1"/>
      <c r="Y272" s="1"/>
      <c r="Z272" s="1"/>
      <c r="AA272" s="1"/>
    </row>
    <row r="273" spans="1:27" ht="12.7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72"/>
      <c r="W273" s="80"/>
      <c r="X273" s="1"/>
      <c r="Y273" s="1"/>
      <c r="Z273" s="1"/>
      <c r="AA273" s="1"/>
    </row>
    <row r="274" spans="1:27" ht="12.7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72"/>
      <c r="W274" s="80"/>
      <c r="X274" s="1"/>
      <c r="Y274" s="1"/>
      <c r="Z274" s="1"/>
      <c r="AA274" s="1"/>
    </row>
    <row r="275" spans="1:27" ht="12.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72"/>
      <c r="W275" s="80"/>
      <c r="X275" s="1"/>
      <c r="Y275" s="1"/>
      <c r="Z275" s="1"/>
      <c r="AA275" s="1"/>
    </row>
    <row r="276" spans="1:27" ht="12.7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72"/>
      <c r="W276" s="80"/>
      <c r="X276" s="1"/>
      <c r="Y276" s="1"/>
      <c r="Z276" s="1"/>
      <c r="AA276" s="1"/>
    </row>
    <row r="277" spans="1:27" ht="12.7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72"/>
      <c r="W277" s="80"/>
      <c r="X277" s="1"/>
      <c r="Y277" s="1"/>
      <c r="Z277" s="1"/>
      <c r="AA277" s="1"/>
    </row>
    <row r="278" spans="1:27" ht="12.7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72"/>
      <c r="W278" s="80"/>
      <c r="X278" s="1"/>
      <c r="Y278" s="1"/>
      <c r="Z278" s="1"/>
      <c r="AA278" s="1"/>
    </row>
    <row r="279" spans="1:27" ht="12.7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72"/>
      <c r="W279" s="80"/>
      <c r="X279" s="1"/>
      <c r="Y279" s="1"/>
      <c r="Z279" s="1"/>
      <c r="AA279" s="1"/>
    </row>
    <row r="280" spans="1:27" ht="12.7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72"/>
      <c r="W280" s="80"/>
      <c r="X280" s="1"/>
      <c r="Y280" s="1"/>
      <c r="Z280" s="1"/>
      <c r="AA280" s="1"/>
    </row>
    <row r="281" spans="1:27" ht="12.7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72"/>
      <c r="W281" s="80"/>
      <c r="X281" s="1"/>
      <c r="Y281" s="1"/>
      <c r="Z281" s="1"/>
      <c r="AA281" s="1"/>
    </row>
    <row r="282" spans="1:27" ht="12.7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72"/>
      <c r="W282" s="80"/>
      <c r="X282" s="1"/>
      <c r="Y282" s="1"/>
      <c r="Z282" s="1"/>
      <c r="AA282" s="1"/>
    </row>
    <row r="283" spans="1:27" ht="12.7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72"/>
      <c r="W283" s="80"/>
      <c r="X283" s="1"/>
      <c r="Y283" s="1"/>
      <c r="Z283" s="1"/>
      <c r="AA283" s="1"/>
    </row>
    <row r="284" spans="1:27" ht="12.7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72"/>
      <c r="W284" s="80"/>
      <c r="X284" s="1"/>
      <c r="Y284" s="1"/>
      <c r="Z284" s="1"/>
      <c r="AA284" s="1"/>
    </row>
    <row r="285" spans="1:27" ht="12.7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72"/>
      <c r="W285" s="80"/>
      <c r="X285" s="1"/>
      <c r="Y285" s="1"/>
      <c r="Z285" s="1"/>
      <c r="AA285" s="1"/>
    </row>
    <row r="286" spans="1:27" ht="12.7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72"/>
      <c r="W286" s="80"/>
      <c r="X286" s="1"/>
      <c r="Y286" s="1"/>
      <c r="Z286" s="1"/>
      <c r="AA286" s="1"/>
    </row>
    <row r="287" spans="1:27" ht="12.7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72"/>
      <c r="W287" s="80"/>
      <c r="X287" s="1"/>
      <c r="Y287" s="1"/>
      <c r="Z287" s="1"/>
      <c r="AA287" s="1"/>
    </row>
    <row r="288" spans="1:27" ht="12.7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72"/>
      <c r="W288" s="80"/>
      <c r="X288" s="1"/>
      <c r="Y288" s="1"/>
      <c r="Z288" s="1"/>
      <c r="AA288" s="1"/>
    </row>
    <row r="289" spans="1:27" ht="12.7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72"/>
      <c r="W289" s="80"/>
      <c r="X289" s="1"/>
      <c r="Y289" s="1"/>
      <c r="Z289" s="1"/>
      <c r="AA289" s="1"/>
    </row>
    <row r="290" spans="1:27" ht="12.7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72"/>
      <c r="W290" s="80"/>
      <c r="X290" s="1"/>
      <c r="Y290" s="1"/>
      <c r="Z290" s="1"/>
      <c r="AA290" s="1"/>
    </row>
    <row r="291" spans="1:27" ht="12.7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72"/>
      <c r="W291" s="80"/>
      <c r="X291" s="1"/>
      <c r="Y291" s="1"/>
      <c r="Z291" s="1"/>
      <c r="AA291" s="1"/>
    </row>
    <row r="292" spans="1:27" ht="12.7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72"/>
      <c r="W292" s="80"/>
      <c r="X292" s="1"/>
      <c r="Y292" s="1"/>
      <c r="Z292" s="1"/>
      <c r="AA292" s="1"/>
    </row>
    <row r="293" spans="1:27" ht="12.7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72"/>
      <c r="W293" s="80"/>
      <c r="X293" s="1"/>
      <c r="Y293" s="1"/>
      <c r="Z293" s="1"/>
      <c r="AA293" s="1"/>
    </row>
    <row r="294" spans="1:27" ht="12.7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72"/>
      <c r="W294" s="80"/>
      <c r="X294" s="1"/>
      <c r="Y294" s="1"/>
      <c r="Z294" s="1"/>
      <c r="AA294" s="1"/>
    </row>
    <row r="295" spans="1:27" ht="12.7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72"/>
      <c r="W295" s="80"/>
      <c r="X295" s="1"/>
      <c r="Y295" s="1"/>
      <c r="Z295" s="1"/>
      <c r="AA295" s="1"/>
    </row>
    <row r="296" spans="1:27" ht="12.7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72"/>
      <c r="W296" s="80"/>
      <c r="X296" s="1"/>
      <c r="Y296" s="1"/>
      <c r="Z296" s="1"/>
      <c r="AA296" s="1"/>
    </row>
    <row r="297" spans="1:27" ht="12.7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72"/>
      <c r="W297" s="80"/>
      <c r="X297" s="1"/>
      <c r="Y297" s="1"/>
      <c r="Z297" s="1"/>
      <c r="AA297" s="1"/>
    </row>
    <row r="298" spans="1:27" ht="12.7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72"/>
      <c r="W298" s="80"/>
      <c r="X298" s="1"/>
      <c r="Y298" s="1"/>
      <c r="Z298" s="1"/>
      <c r="AA298" s="1"/>
    </row>
    <row r="299" spans="1:27" ht="12.7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72"/>
      <c r="W299" s="80"/>
      <c r="X299" s="1"/>
      <c r="Y299" s="1"/>
      <c r="Z299" s="1"/>
      <c r="AA299" s="1"/>
    </row>
    <row r="300" spans="1:27" ht="12.7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72"/>
      <c r="W300" s="80"/>
      <c r="X300" s="1"/>
      <c r="Y300" s="1"/>
      <c r="Z300" s="1"/>
      <c r="AA300" s="1"/>
    </row>
    <row r="301" spans="1:27" ht="12.7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72"/>
      <c r="W301" s="80"/>
      <c r="X301" s="1"/>
      <c r="Y301" s="1"/>
      <c r="Z301" s="1"/>
      <c r="AA301" s="1"/>
    </row>
    <row r="302" spans="1:27" ht="12.7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72"/>
      <c r="W302" s="80"/>
      <c r="X302" s="1"/>
      <c r="Y302" s="1"/>
      <c r="Z302" s="1"/>
      <c r="AA302" s="1"/>
    </row>
    <row r="303" spans="1:27" ht="12.7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72"/>
      <c r="W303" s="80"/>
      <c r="X303" s="1"/>
      <c r="Y303" s="1"/>
      <c r="Z303" s="1"/>
      <c r="AA303" s="1"/>
    </row>
    <row r="304" spans="1:27" ht="12.7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72"/>
      <c r="W304" s="80"/>
      <c r="X304" s="1"/>
      <c r="Y304" s="1"/>
      <c r="Z304" s="1"/>
      <c r="AA304" s="1"/>
    </row>
    <row r="305" spans="1:27" ht="12.7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72"/>
      <c r="W305" s="80"/>
      <c r="X305" s="1"/>
      <c r="Y305" s="1"/>
      <c r="Z305" s="1"/>
      <c r="AA305" s="1"/>
    </row>
    <row r="306" spans="1:27" ht="12.7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72"/>
      <c r="W306" s="80"/>
      <c r="X306" s="1"/>
      <c r="Y306" s="1"/>
      <c r="Z306" s="1"/>
      <c r="AA306" s="1"/>
    </row>
    <row r="307" spans="1:27" ht="12.7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72"/>
      <c r="W307" s="80"/>
      <c r="X307" s="1"/>
      <c r="Y307" s="1"/>
      <c r="Z307" s="1"/>
      <c r="AA307" s="1"/>
    </row>
    <row r="308" spans="1:27" ht="12.7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72"/>
      <c r="W308" s="80"/>
      <c r="X308" s="1"/>
      <c r="Y308" s="1"/>
      <c r="Z308" s="1"/>
      <c r="AA308" s="1"/>
    </row>
    <row r="309" spans="1:27" ht="12.7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72"/>
      <c r="W309" s="80"/>
      <c r="X309" s="1"/>
      <c r="Y309" s="1"/>
      <c r="Z309" s="1"/>
      <c r="AA309" s="1"/>
    </row>
    <row r="310" spans="1:27" ht="12.7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72"/>
      <c r="W310" s="80"/>
      <c r="X310" s="1"/>
      <c r="Y310" s="1"/>
      <c r="Z310" s="1"/>
      <c r="AA310" s="1"/>
    </row>
    <row r="311" spans="1:27" ht="12.7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72"/>
      <c r="W311" s="80"/>
      <c r="X311" s="1"/>
      <c r="Y311" s="1"/>
      <c r="Z311" s="1"/>
      <c r="AA311" s="1"/>
    </row>
    <row r="312" spans="1:27" ht="12.7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72"/>
      <c r="W312" s="80"/>
      <c r="X312" s="1"/>
      <c r="Y312" s="1"/>
      <c r="Z312" s="1"/>
      <c r="AA312" s="1"/>
    </row>
    <row r="313" spans="1:27" ht="12.7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72"/>
      <c r="W313" s="80"/>
      <c r="X313" s="1"/>
      <c r="Y313" s="1"/>
      <c r="Z313" s="1"/>
      <c r="AA313" s="1"/>
    </row>
    <row r="314" spans="1:27" ht="12.7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72"/>
      <c r="W314" s="80"/>
      <c r="X314" s="1"/>
      <c r="Y314" s="1"/>
      <c r="Z314" s="1"/>
      <c r="AA314" s="1"/>
    </row>
    <row r="315" spans="1:27" ht="12.7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72"/>
      <c r="W315" s="80"/>
      <c r="X315" s="1"/>
      <c r="Y315" s="1"/>
      <c r="Z315" s="1"/>
      <c r="AA315" s="1"/>
    </row>
    <row r="316" spans="1:27" ht="12.7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72"/>
      <c r="W316" s="80"/>
      <c r="X316" s="1"/>
      <c r="Y316" s="1"/>
      <c r="Z316" s="1"/>
      <c r="AA316" s="1"/>
    </row>
    <row r="317" spans="1:27" ht="12.7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72"/>
      <c r="W317" s="80"/>
      <c r="X317" s="1"/>
      <c r="Y317" s="1"/>
      <c r="Z317" s="1"/>
      <c r="AA317" s="1"/>
    </row>
    <row r="318" spans="1:27" ht="12.7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72"/>
      <c r="W318" s="80"/>
      <c r="X318" s="1"/>
      <c r="Y318" s="1"/>
      <c r="Z318" s="1"/>
      <c r="AA318" s="1"/>
    </row>
    <row r="319" spans="1:27" ht="12.7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72"/>
      <c r="W319" s="80"/>
      <c r="X319" s="1"/>
      <c r="Y319" s="1"/>
      <c r="Z319" s="1"/>
      <c r="AA319" s="1"/>
    </row>
    <row r="320" spans="1:27" ht="12.7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72"/>
      <c r="W320" s="80"/>
      <c r="X320" s="1"/>
      <c r="Y320" s="1"/>
      <c r="Z320" s="1"/>
      <c r="AA320" s="1"/>
    </row>
    <row r="321" spans="1:27" ht="12.7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72"/>
      <c r="W321" s="80"/>
      <c r="X321" s="1"/>
      <c r="Y321" s="1"/>
      <c r="Z321" s="1"/>
      <c r="AA321" s="1"/>
    </row>
    <row r="322" spans="1:27" ht="12.7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72"/>
      <c r="W322" s="80"/>
      <c r="X322" s="1"/>
      <c r="Y322" s="1"/>
      <c r="Z322" s="1"/>
      <c r="AA322" s="1"/>
    </row>
    <row r="323" spans="1:27" ht="12.7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72"/>
      <c r="W323" s="80"/>
      <c r="X323" s="1"/>
      <c r="Y323" s="1"/>
      <c r="Z323" s="1"/>
      <c r="AA323" s="1"/>
    </row>
    <row r="324" spans="1:27" ht="12.7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72"/>
      <c r="W324" s="80"/>
      <c r="X324" s="1"/>
      <c r="Y324" s="1"/>
      <c r="Z324" s="1"/>
      <c r="AA324" s="1"/>
    </row>
    <row r="325" spans="1:27" ht="12.7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72"/>
      <c r="W325" s="80"/>
      <c r="X325" s="1"/>
      <c r="Y325" s="1"/>
      <c r="Z325" s="1"/>
      <c r="AA325" s="1"/>
    </row>
    <row r="326" spans="1:27" ht="12.7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72"/>
      <c r="W326" s="80"/>
      <c r="X326" s="1"/>
      <c r="Y326" s="1"/>
      <c r="Z326" s="1"/>
      <c r="AA326" s="1"/>
    </row>
    <row r="327" spans="1:27" ht="12.7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72"/>
      <c r="W327" s="80"/>
      <c r="X327" s="1"/>
      <c r="Y327" s="1"/>
      <c r="Z327" s="1"/>
      <c r="AA327" s="1"/>
    </row>
    <row r="328" spans="1:27" ht="12.7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72"/>
      <c r="W328" s="80"/>
      <c r="X328" s="1"/>
      <c r="Y328" s="1"/>
      <c r="Z328" s="1"/>
      <c r="AA328" s="1"/>
    </row>
    <row r="329" spans="1:27" ht="12.7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72"/>
      <c r="W329" s="80"/>
      <c r="X329" s="1"/>
      <c r="Y329" s="1"/>
      <c r="Z329" s="1"/>
      <c r="AA329" s="1"/>
    </row>
    <row r="330" spans="1:27" ht="12.7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72"/>
      <c r="W330" s="80"/>
      <c r="X330" s="1"/>
      <c r="Y330" s="1"/>
      <c r="Z330" s="1"/>
      <c r="AA330" s="1"/>
    </row>
    <row r="331" spans="1:27" ht="12.7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72"/>
      <c r="W331" s="80"/>
      <c r="X331" s="1"/>
      <c r="Y331" s="1"/>
      <c r="Z331" s="1"/>
      <c r="AA331" s="1"/>
    </row>
    <row r="332" spans="1:27" ht="12.7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72"/>
      <c r="W332" s="80"/>
      <c r="X332" s="1"/>
      <c r="Y332" s="1"/>
      <c r="Z332" s="1"/>
      <c r="AA332" s="1"/>
    </row>
    <row r="333" spans="1:27" ht="12.7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72"/>
      <c r="W333" s="80"/>
      <c r="X333" s="1"/>
      <c r="Y333" s="1"/>
      <c r="Z333" s="1"/>
      <c r="AA333" s="1"/>
    </row>
    <row r="334" spans="1:27" ht="12.7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72"/>
      <c r="W334" s="80"/>
      <c r="X334" s="1"/>
      <c r="Y334" s="1"/>
      <c r="Z334" s="1"/>
      <c r="AA334" s="1"/>
    </row>
    <row r="335" spans="1:27" ht="12.7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72"/>
      <c r="W335" s="80"/>
      <c r="X335" s="1"/>
      <c r="Y335" s="1"/>
      <c r="Z335" s="1"/>
      <c r="AA335" s="1"/>
    </row>
    <row r="336" spans="1:27" ht="12.7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72"/>
      <c r="W336" s="80"/>
      <c r="X336" s="1"/>
      <c r="Y336" s="1"/>
      <c r="Z336" s="1"/>
      <c r="AA336" s="1"/>
    </row>
    <row r="337" spans="1:27" ht="12.7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72"/>
      <c r="W337" s="80"/>
      <c r="X337" s="1"/>
      <c r="Y337" s="1"/>
      <c r="Z337" s="1"/>
      <c r="AA337" s="1"/>
    </row>
    <row r="338" spans="1:27" ht="12.7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72"/>
      <c r="W338" s="80"/>
      <c r="X338" s="1"/>
      <c r="Y338" s="1"/>
      <c r="Z338" s="1"/>
      <c r="AA338" s="1"/>
    </row>
    <row r="339" spans="1:27" ht="12.7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72"/>
      <c r="W339" s="80"/>
      <c r="X339" s="1"/>
      <c r="Y339" s="1"/>
      <c r="Z339" s="1"/>
      <c r="AA339" s="1"/>
    </row>
    <row r="340" spans="1:27" ht="12.7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72"/>
      <c r="W340" s="80"/>
      <c r="X340" s="1"/>
      <c r="Y340" s="1"/>
      <c r="Z340" s="1"/>
      <c r="AA340" s="1"/>
    </row>
    <row r="341" spans="1:27" ht="12.7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72"/>
      <c r="W341" s="80"/>
      <c r="X341" s="1"/>
      <c r="Y341" s="1"/>
      <c r="Z341" s="1"/>
      <c r="AA341" s="1"/>
    </row>
    <row r="342" spans="1:27" ht="12.7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72"/>
      <c r="W342" s="80"/>
      <c r="X342" s="1"/>
      <c r="Y342" s="1"/>
      <c r="Z342" s="1"/>
      <c r="AA342" s="1"/>
    </row>
    <row r="343" spans="1:27" ht="12.7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72"/>
      <c r="W343" s="80"/>
      <c r="X343" s="1"/>
      <c r="Y343" s="1"/>
      <c r="Z343" s="1"/>
      <c r="AA343" s="1"/>
    </row>
    <row r="344" spans="1:27" ht="12.7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72"/>
      <c r="W344" s="80"/>
      <c r="X344" s="1"/>
      <c r="Y344" s="1"/>
      <c r="Z344" s="1"/>
      <c r="AA344" s="1"/>
    </row>
    <row r="345" spans="1:27" ht="12.7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72"/>
      <c r="W345" s="80"/>
      <c r="X345" s="1"/>
      <c r="Y345" s="1"/>
      <c r="Z345" s="1"/>
      <c r="AA345" s="1"/>
    </row>
    <row r="346" spans="1:27" ht="12.7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72"/>
      <c r="W346" s="80"/>
      <c r="X346" s="1"/>
      <c r="Y346" s="1"/>
      <c r="Z346" s="1"/>
      <c r="AA346" s="1"/>
    </row>
    <row r="347" spans="1:27" ht="12.7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72"/>
      <c r="W347" s="80"/>
      <c r="X347" s="1"/>
      <c r="Y347" s="1"/>
      <c r="Z347" s="1"/>
      <c r="AA347" s="1"/>
    </row>
    <row r="348" spans="1:27" ht="12.7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72"/>
      <c r="W348" s="80"/>
      <c r="X348" s="1"/>
      <c r="Y348" s="1"/>
      <c r="Z348" s="1"/>
      <c r="AA348" s="1"/>
    </row>
    <row r="349" spans="1:27" ht="12.7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72"/>
      <c r="W349" s="80"/>
      <c r="X349" s="1"/>
      <c r="Y349" s="1"/>
      <c r="Z349" s="1"/>
      <c r="AA349" s="1"/>
    </row>
    <row r="350" spans="1:27" ht="12.7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72"/>
      <c r="W350" s="80"/>
      <c r="X350" s="1"/>
      <c r="Y350" s="1"/>
      <c r="Z350" s="1"/>
      <c r="AA350" s="1"/>
    </row>
    <row r="351" spans="1:27" ht="12.7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72"/>
      <c r="W351" s="80"/>
      <c r="X351" s="1"/>
      <c r="Y351" s="1"/>
      <c r="Z351" s="1"/>
      <c r="AA351" s="1"/>
    </row>
    <row r="352" spans="1:27" ht="12.7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72"/>
      <c r="W352" s="80"/>
      <c r="X352" s="1"/>
      <c r="Y352" s="1"/>
      <c r="Z352" s="1"/>
      <c r="AA352" s="1"/>
    </row>
    <row r="353" spans="1:27" ht="12.7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72"/>
      <c r="W353" s="80"/>
      <c r="X353" s="1"/>
      <c r="Y353" s="1"/>
      <c r="Z353" s="1"/>
      <c r="AA353" s="1"/>
    </row>
    <row r="354" spans="1:27" ht="12.7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72"/>
      <c r="W354" s="80"/>
      <c r="X354" s="1"/>
      <c r="Y354" s="1"/>
      <c r="Z354" s="1"/>
      <c r="AA354" s="1"/>
    </row>
    <row r="355" spans="1:27" ht="12.7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72"/>
      <c r="W355" s="80"/>
      <c r="X355" s="1"/>
      <c r="Y355" s="1"/>
      <c r="Z355" s="1"/>
      <c r="AA355" s="1"/>
    </row>
    <row r="356" spans="1:27" ht="12.7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72"/>
      <c r="W356" s="80"/>
      <c r="X356" s="1"/>
      <c r="Y356" s="1"/>
      <c r="Z356" s="1"/>
      <c r="AA356" s="1"/>
    </row>
    <row r="357" spans="1:27" ht="12.7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72"/>
      <c r="W357" s="80"/>
      <c r="X357" s="1"/>
      <c r="Y357" s="1"/>
      <c r="Z357" s="1"/>
      <c r="AA357" s="1"/>
    </row>
    <row r="358" spans="1:27" ht="12.7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72"/>
      <c r="W358" s="80"/>
      <c r="X358" s="1"/>
      <c r="Y358" s="1"/>
      <c r="Z358" s="1"/>
      <c r="AA358" s="1"/>
    </row>
    <row r="359" spans="1:27" ht="12.7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72"/>
      <c r="W359" s="80"/>
      <c r="X359" s="1"/>
      <c r="Y359" s="1"/>
      <c r="Z359" s="1"/>
      <c r="AA359" s="1"/>
    </row>
    <row r="360" spans="1:27" ht="12.7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72"/>
      <c r="W360" s="80"/>
      <c r="X360" s="1"/>
      <c r="Y360" s="1"/>
      <c r="Z360" s="1"/>
      <c r="AA360" s="1"/>
    </row>
    <row r="361" spans="1:27" ht="12.7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72"/>
      <c r="W361" s="80"/>
      <c r="X361" s="1"/>
      <c r="Y361" s="1"/>
      <c r="Z361" s="1"/>
      <c r="AA361" s="1"/>
    </row>
    <row r="362" spans="1:27" ht="12.7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72"/>
      <c r="W362" s="80"/>
      <c r="X362" s="1"/>
      <c r="Y362" s="1"/>
      <c r="Z362" s="1"/>
      <c r="AA362" s="1"/>
    </row>
    <row r="363" spans="1:27" ht="12.7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72"/>
      <c r="W363" s="80"/>
      <c r="X363" s="1"/>
      <c r="Y363" s="1"/>
      <c r="Z363" s="1"/>
      <c r="AA363" s="1"/>
    </row>
    <row r="364" spans="1:27" ht="12.7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72"/>
      <c r="W364" s="80"/>
      <c r="X364" s="1"/>
      <c r="Y364" s="1"/>
      <c r="Z364" s="1"/>
      <c r="AA364" s="1"/>
    </row>
    <row r="365" spans="1:27" ht="12.7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72"/>
      <c r="W365" s="80"/>
      <c r="X365" s="1"/>
      <c r="Y365" s="1"/>
      <c r="Z365" s="1"/>
      <c r="AA365" s="1"/>
    </row>
    <row r="366" spans="1:27" ht="12.7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72"/>
      <c r="W366" s="80"/>
      <c r="X366" s="1"/>
      <c r="Y366" s="1"/>
      <c r="Z366" s="1"/>
      <c r="AA366" s="1"/>
    </row>
    <row r="367" spans="1:27" ht="12.7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72"/>
      <c r="W367" s="80"/>
      <c r="X367" s="1"/>
      <c r="Y367" s="1"/>
      <c r="Z367" s="1"/>
      <c r="AA367" s="1"/>
    </row>
    <row r="368" spans="1:27" ht="12.7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72"/>
      <c r="W368" s="80"/>
      <c r="X368" s="1"/>
      <c r="Y368" s="1"/>
      <c r="Z368" s="1"/>
      <c r="AA368" s="1"/>
    </row>
    <row r="369" spans="1:27" ht="12.7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72"/>
      <c r="W369" s="80"/>
      <c r="X369" s="1"/>
      <c r="Y369" s="1"/>
      <c r="Z369" s="1"/>
      <c r="AA369" s="1"/>
    </row>
    <row r="370" spans="1:27" ht="12.7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72"/>
      <c r="W370" s="80"/>
      <c r="X370" s="1"/>
      <c r="Y370" s="1"/>
      <c r="Z370" s="1"/>
      <c r="AA370" s="1"/>
    </row>
    <row r="371" spans="1:27" ht="12.7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72"/>
      <c r="W371" s="80"/>
      <c r="X371" s="1"/>
      <c r="Y371" s="1"/>
      <c r="Z371" s="1"/>
      <c r="AA371" s="1"/>
    </row>
    <row r="372" spans="1:27" ht="12.7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72"/>
      <c r="W372" s="80"/>
      <c r="X372" s="1"/>
      <c r="Y372" s="1"/>
      <c r="Z372" s="1"/>
      <c r="AA372" s="1"/>
    </row>
    <row r="373" spans="1:27" ht="12.7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72"/>
      <c r="W373" s="80"/>
      <c r="X373" s="1"/>
      <c r="Y373" s="1"/>
      <c r="Z373" s="1"/>
      <c r="AA373" s="1"/>
    </row>
    <row r="374" spans="1:27" ht="12.7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72"/>
      <c r="W374" s="80"/>
      <c r="X374" s="1"/>
      <c r="Y374" s="1"/>
      <c r="Z374" s="1"/>
      <c r="AA374" s="1"/>
    </row>
    <row r="375" spans="1:27" ht="12.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72"/>
      <c r="W375" s="80"/>
      <c r="X375" s="1"/>
      <c r="Y375" s="1"/>
      <c r="Z375" s="1"/>
      <c r="AA375" s="1"/>
    </row>
    <row r="376" spans="1:27" ht="12.7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72"/>
      <c r="W376" s="80"/>
      <c r="X376" s="1"/>
      <c r="Y376" s="1"/>
      <c r="Z376" s="1"/>
      <c r="AA376" s="1"/>
    </row>
    <row r="377" spans="1:27" ht="12.7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72"/>
      <c r="W377" s="80"/>
      <c r="X377" s="1"/>
      <c r="Y377" s="1"/>
      <c r="Z377" s="1"/>
      <c r="AA377" s="1"/>
    </row>
    <row r="378" spans="1:27" ht="12.7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72"/>
      <c r="W378" s="80"/>
      <c r="X378" s="1"/>
      <c r="Y378" s="1"/>
      <c r="Z378" s="1"/>
      <c r="AA378" s="1"/>
    </row>
    <row r="379" spans="1:27" ht="12.7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72"/>
      <c r="W379" s="80"/>
      <c r="X379" s="1"/>
      <c r="Y379" s="1"/>
      <c r="Z379" s="1"/>
      <c r="AA379" s="1"/>
    </row>
    <row r="380" spans="1:27" ht="12.7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72"/>
      <c r="W380" s="80"/>
      <c r="X380" s="1"/>
      <c r="Y380" s="1"/>
      <c r="Z380" s="1"/>
      <c r="AA380" s="1"/>
    </row>
    <row r="381" spans="1:27" ht="12.7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72"/>
      <c r="W381" s="80"/>
      <c r="X381" s="1"/>
      <c r="Y381" s="1"/>
      <c r="Z381" s="1"/>
      <c r="AA381" s="1"/>
    </row>
    <row r="382" spans="1:27" ht="12.7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72"/>
      <c r="W382" s="80"/>
      <c r="X382" s="1"/>
      <c r="Y382" s="1"/>
      <c r="Z382" s="1"/>
      <c r="AA382" s="1"/>
    </row>
    <row r="383" spans="1:27" ht="12.7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72"/>
      <c r="W383" s="80"/>
      <c r="X383" s="1"/>
      <c r="Y383" s="1"/>
      <c r="Z383" s="1"/>
      <c r="AA383" s="1"/>
    </row>
    <row r="384" spans="1:27" ht="12.7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72"/>
      <c r="W384" s="80"/>
      <c r="X384" s="1"/>
      <c r="Y384" s="1"/>
      <c r="Z384" s="1"/>
      <c r="AA384" s="1"/>
    </row>
    <row r="385" spans="1:27" ht="12.7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72"/>
      <c r="W385" s="80"/>
      <c r="X385" s="1"/>
      <c r="Y385" s="1"/>
      <c r="Z385" s="1"/>
      <c r="AA385" s="1"/>
    </row>
    <row r="386" spans="1:27" ht="12.7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72"/>
      <c r="W386" s="80"/>
      <c r="X386" s="1"/>
      <c r="Y386" s="1"/>
      <c r="Z386" s="1"/>
      <c r="AA386" s="1"/>
    </row>
    <row r="387" spans="1:27" ht="12.7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72"/>
      <c r="W387" s="80"/>
      <c r="X387" s="1"/>
      <c r="Y387" s="1"/>
      <c r="Z387" s="1"/>
      <c r="AA387" s="1"/>
    </row>
    <row r="388" spans="1:27" ht="12.7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72"/>
      <c r="W388" s="80"/>
      <c r="X388" s="1"/>
      <c r="Y388" s="1"/>
      <c r="Z388" s="1"/>
      <c r="AA388" s="1"/>
    </row>
    <row r="389" spans="1:27" ht="12.7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72"/>
      <c r="W389" s="80"/>
      <c r="X389" s="1"/>
      <c r="Y389" s="1"/>
      <c r="Z389" s="1"/>
      <c r="AA389" s="1"/>
    </row>
    <row r="390" spans="1:27" ht="12.7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72"/>
      <c r="W390" s="80"/>
      <c r="X390" s="1"/>
      <c r="Y390" s="1"/>
      <c r="Z390" s="1"/>
      <c r="AA390" s="1"/>
    </row>
    <row r="391" spans="1:27" ht="12.7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72"/>
      <c r="W391" s="80"/>
      <c r="X391" s="1"/>
      <c r="Y391" s="1"/>
      <c r="Z391" s="1"/>
      <c r="AA391" s="1"/>
    </row>
    <row r="392" spans="1:27" ht="12.7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72"/>
      <c r="W392" s="80"/>
      <c r="X392" s="1"/>
      <c r="Y392" s="1"/>
      <c r="Z392" s="1"/>
      <c r="AA392" s="1"/>
    </row>
    <row r="393" spans="1:27" ht="12.7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72"/>
      <c r="W393" s="80"/>
      <c r="X393" s="1"/>
      <c r="Y393" s="1"/>
      <c r="Z393" s="1"/>
      <c r="AA393" s="1"/>
    </row>
    <row r="394" spans="1:27" ht="12.7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72"/>
      <c r="W394" s="80"/>
      <c r="X394" s="1"/>
      <c r="Y394" s="1"/>
      <c r="Z394" s="1"/>
      <c r="AA394" s="1"/>
    </row>
    <row r="395" spans="1:27" ht="12.7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72"/>
      <c r="W395" s="80"/>
      <c r="X395" s="1"/>
      <c r="Y395" s="1"/>
      <c r="Z395" s="1"/>
      <c r="AA395" s="1"/>
    </row>
    <row r="396" spans="1:27" ht="12.7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72"/>
      <c r="W396" s="80"/>
      <c r="X396" s="1"/>
      <c r="Y396" s="1"/>
      <c r="Z396" s="1"/>
      <c r="AA396" s="1"/>
    </row>
    <row r="397" spans="1:27" ht="12.7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72"/>
      <c r="W397" s="80"/>
      <c r="X397" s="1"/>
      <c r="Y397" s="1"/>
      <c r="Z397" s="1"/>
      <c r="AA397" s="1"/>
    </row>
    <row r="398" spans="1:27" ht="12.7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72"/>
      <c r="W398" s="80"/>
      <c r="X398" s="1"/>
      <c r="Y398" s="1"/>
      <c r="Z398" s="1"/>
      <c r="AA398" s="1"/>
    </row>
    <row r="399" spans="1:27" ht="12.7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72"/>
      <c r="W399" s="80"/>
      <c r="X399" s="1"/>
      <c r="Y399" s="1"/>
      <c r="Z399" s="1"/>
      <c r="AA399" s="1"/>
    </row>
    <row r="400" spans="1:27" ht="12.7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72"/>
      <c r="W400" s="80"/>
      <c r="X400" s="1"/>
      <c r="Y400" s="1"/>
      <c r="Z400" s="1"/>
      <c r="AA400" s="1"/>
    </row>
    <row r="401" spans="1:27" ht="12.7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72"/>
      <c r="W401" s="80"/>
      <c r="X401" s="1"/>
      <c r="Y401" s="1"/>
      <c r="Z401" s="1"/>
      <c r="AA401" s="1"/>
    </row>
    <row r="402" spans="1:27" ht="12.7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72"/>
      <c r="W402" s="80"/>
      <c r="X402" s="1"/>
      <c r="Y402" s="1"/>
      <c r="Z402" s="1"/>
      <c r="AA402" s="1"/>
    </row>
    <row r="403" spans="1:27" ht="12.7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72"/>
      <c r="W403" s="80"/>
      <c r="X403" s="1"/>
      <c r="Y403" s="1"/>
      <c r="Z403" s="1"/>
      <c r="AA403" s="1"/>
    </row>
    <row r="404" spans="1:27" ht="12.7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72"/>
      <c r="W404" s="80"/>
      <c r="X404" s="1"/>
      <c r="Y404" s="1"/>
      <c r="Z404" s="1"/>
      <c r="AA404" s="1"/>
    </row>
    <row r="405" spans="1:27" ht="12.7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72"/>
      <c r="W405" s="80"/>
      <c r="X405" s="1"/>
      <c r="Y405" s="1"/>
      <c r="Z405" s="1"/>
      <c r="AA405" s="1"/>
    </row>
    <row r="406" spans="1:27" ht="12.7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72"/>
      <c r="W406" s="80"/>
      <c r="X406" s="1"/>
      <c r="Y406" s="1"/>
      <c r="Z406" s="1"/>
      <c r="AA406" s="1"/>
    </row>
    <row r="407" spans="1:27" ht="12.7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72"/>
      <c r="W407" s="80"/>
      <c r="X407" s="1"/>
      <c r="Y407" s="1"/>
      <c r="Z407" s="1"/>
      <c r="AA407" s="1"/>
    </row>
    <row r="408" spans="1:27" ht="12.7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72"/>
      <c r="W408" s="80"/>
      <c r="X408" s="1"/>
      <c r="Y408" s="1"/>
      <c r="Z408" s="1"/>
      <c r="AA408" s="1"/>
    </row>
    <row r="409" spans="1:27" ht="12.7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72"/>
      <c r="W409" s="80"/>
      <c r="X409" s="1"/>
      <c r="Y409" s="1"/>
      <c r="Z409" s="1"/>
      <c r="AA409" s="1"/>
    </row>
    <row r="410" spans="1:27" ht="12.7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72"/>
      <c r="W410" s="80"/>
      <c r="X410" s="1"/>
      <c r="Y410" s="1"/>
      <c r="Z410" s="1"/>
      <c r="AA410" s="1"/>
    </row>
    <row r="411" spans="1:27" ht="12.7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72"/>
      <c r="W411" s="80"/>
      <c r="X411" s="1"/>
      <c r="Y411" s="1"/>
      <c r="Z411" s="1"/>
      <c r="AA411" s="1"/>
    </row>
    <row r="412" spans="1:27" ht="12.7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72"/>
      <c r="W412" s="80"/>
      <c r="X412" s="1"/>
      <c r="Y412" s="1"/>
      <c r="Z412" s="1"/>
      <c r="AA412" s="1"/>
    </row>
    <row r="413" spans="1:27" ht="12.7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72"/>
      <c r="W413" s="80"/>
      <c r="X413" s="1"/>
      <c r="Y413" s="1"/>
      <c r="Z413" s="1"/>
      <c r="AA413" s="1"/>
    </row>
    <row r="414" spans="1:27" ht="12.7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72"/>
      <c r="W414" s="80"/>
      <c r="X414" s="1"/>
      <c r="Y414" s="1"/>
      <c r="Z414" s="1"/>
      <c r="AA414" s="1"/>
    </row>
    <row r="415" spans="1:27" ht="12.7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72"/>
      <c r="W415" s="80"/>
      <c r="X415" s="1"/>
      <c r="Y415" s="1"/>
      <c r="Z415" s="1"/>
      <c r="AA415" s="1"/>
    </row>
    <row r="416" spans="1:27" ht="12.7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72"/>
      <c r="W416" s="80"/>
      <c r="X416" s="1"/>
      <c r="Y416" s="1"/>
      <c r="Z416" s="1"/>
      <c r="AA416" s="1"/>
    </row>
    <row r="417" spans="1:27" ht="12.7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72"/>
      <c r="W417" s="80"/>
      <c r="X417" s="1"/>
      <c r="Y417" s="1"/>
      <c r="Z417" s="1"/>
      <c r="AA417" s="1"/>
    </row>
    <row r="418" spans="1:27" ht="12.7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72"/>
      <c r="W418" s="80"/>
      <c r="X418" s="1"/>
      <c r="Y418" s="1"/>
      <c r="Z418" s="1"/>
      <c r="AA418" s="1"/>
    </row>
    <row r="419" spans="1:27" ht="12.7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72"/>
      <c r="W419" s="80"/>
      <c r="X419" s="1"/>
      <c r="Y419" s="1"/>
      <c r="Z419" s="1"/>
      <c r="AA419" s="1"/>
    </row>
    <row r="420" spans="1:27" ht="12.7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72"/>
      <c r="W420" s="80"/>
      <c r="X420" s="1"/>
      <c r="Y420" s="1"/>
      <c r="Z420" s="1"/>
      <c r="AA420" s="1"/>
    </row>
    <row r="421" spans="1:27" ht="12.7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72"/>
      <c r="W421" s="80"/>
      <c r="X421" s="1"/>
      <c r="Y421" s="1"/>
      <c r="Z421" s="1"/>
      <c r="AA421" s="1"/>
    </row>
    <row r="422" spans="1:27" ht="12.7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72"/>
      <c r="W422" s="80"/>
      <c r="X422" s="1"/>
      <c r="Y422" s="1"/>
      <c r="Z422" s="1"/>
      <c r="AA422" s="1"/>
    </row>
    <row r="423" spans="1:27" ht="12.7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72"/>
      <c r="W423" s="80"/>
      <c r="X423" s="1"/>
      <c r="Y423" s="1"/>
      <c r="Z423" s="1"/>
      <c r="AA423" s="1"/>
    </row>
    <row r="424" spans="1:27" ht="12.7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72"/>
      <c r="W424" s="80"/>
      <c r="X424" s="1"/>
      <c r="Y424" s="1"/>
      <c r="Z424" s="1"/>
      <c r="AA424" s="1"/>
    </row>
    <row r="425" spans="1:27" ht="12.7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72"/>
      <c r="W425" s="80"/>
      <c r="X425" s="1"/>
      <c r="Y425" s="1"/>
      <c r="Z425" s="1"/>
      <c r="AA425" s="1"/>
    </row>
    <row r="426" spans="1:27" ht="12.7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72"/>
      <c r="W426" s="80"/>
      <c r="X426" s="1"/>
      <c r="Y426" s="1"/>
      <c r="Z426" s="1"/>
      <c r="AA426" s="1"/>
    </row>
    <row r="427" spans="1:27" ht="12.7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72"/>
      <c r="W427" s="80"/>
      <c r="X427" s="1"/>
      <c r="Y427" s="1"/>
      <c r="Z427" s="1"/>
      <c r="AA427" s="1"/>
    </row>
    <row r="428" spans="1:27" ht="12.7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72"/>
      <c r="W428" s="80"/>
      <c r="X428" s="1"/>
      <c r="Y428" s="1"/>
      <c r="Z428" s="1"/>
      <c r="AA428" s="1"/>
    </row>
    <row r="429" spans="1:27" ht="12.7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72"/>
      <c r="W429" s="80"/>
      <c r="X429" s="1"/>
      <c r="Y429" s="1"/>
      <c r="Z429" s="1"/>
      <c r="AA429" s="1"/>
    </row>
    <row r="430" spans="1:27" ht="12.7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72"/>
      <c r="W430" s="80"/>
      <c r="X430" s="1"/>
      <c r="Y430" s="1"/>
      <c r="Z430" s="1"/>
      <c r="AA430" s="1"/>
    </row>
    <row r="431" spans="1:27" ht="12.7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72"/>
      <c r="W431" s="80"/>
      <c r="X431" s="1"/>
      <c r="Y431" s="1"/>
      <c r="Z431" s="1"/>
      <c r="AA431" s="1"/>
    </row>
    <row r="432" spans="1:27" ht="12.7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72"/>
      <c r="W432" s="80"/>
      <c r="X432" s="1"/>
      <c r="Y432" s="1"/>
      <c r="Z432" s="1"/>
      <c r="AA432" s="1"/>
    </row>
    <row r="433" spans="1:27" ht="12.7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72"/>
      <c r="W433" s="80"/>
      <c r="X433" s="1"/>
      <c r="Y433" s="1"/>
      <c r="Z433" s="1"/>
      <c r="AA433" s="1"/>
    </row>
    <row r="434" spans="1:27" ht="12.7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72"/>
      <c r="W434" s="80"/>
      <c r="X434" s="1"/>
      <c r="Y434" s="1"/>
      <c r="Z434" s="1"/>
      <c r="AA434" s="1"/>
    </row>
    <row r="435" spans="1:27" ht="12.7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72"/>
      <c r="W435" s="80"/>
      <c r="X435" s="1"/>
      <c r="Y435" s="1"/>
      <c r="Z435" s="1"/>
      <c r="AA435" s="1"/>
    </row>
    <row r="436" spans="1:27" ht="12.7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72"/>
      <c r="W436" s="80"/>
      <c r="X436" s="1"/>
      <c r="Y436" s="1"/>
      <c r="Z436" s="1"/>
      <c r="AA436" s="1"/>
    </row>
    <row r="437" spans="1:27" ht="12.7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72"/>
      <c r="W437" s="80"/>
      <c r="X437" s="1"/>
      <c r="Y437" s="1"/>
      <c r="Z437" s="1"/>
      <c r="AA437" s="1"/>
    </row>
    <row r="438" spans="1:27" ht="12.7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72"/>
      <c r="W438" s="80"/>
      <c r="X438" s="1"/>
      <c r="Y438" s="1"/>
      <c r="Z438" s="1"/>
      <c r="AA438" s="1"/>
    </row>
    <row r="439" spans="1:27" ht="12.7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72"/>
      <c r="W439" s="80"/>
      <c r="X439" s="1"/>
      <c r="Y439" s="1"/>
      <c r="Z439" s="1"/>
      <c r="AA439" s="1"/>
    </row>
    <row r="440" spans="1:27" ht="12.7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72"/>
      <c r="W440" s="80"/>
      <c r="X440" s="1"/>
      <c r="Y440" s="1"/>
      <c r="Z440" s="1"/>
      <c r="AA440" s="1"/>
    </row>
    <row r="441" spans="1:27" ht="12.7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72"/>
      <c r="W441" s="80"/>
      <c r="X441" s="1"/>
      <c r="Y441" s="1"/>
      <c r="Z441" s="1"/>
      <c r="AA441" s="1"/>
    </row>
    <row r="442" spans="1:27" ht="12.7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72"/>
      <c r="W442" s="80"/>
      <c r="X442" s="1"/>
      <c r="Y442" s="1"/>
      <c r="Z442" s="1"/>
      <c r="AA442" s="1"/>
    </row>
    <row r="443" spans="1:27" ht="12.7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72"/>
      <c r="W443" s="80"/>
      <c r="X443" s="1"/>
      <c r="Y443" s="1"/>
      <c r="Z443" s="1"/>
      <c r="AA443" s="1"/>
    </row>
    <row r="444" spans="1:27" ht="12.7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72"/>
      <c r="W444" s="80"/>
      <c r="X444" s="1"/>
      <c r="Y444" s="1"/>
      <c r="Z444" s="1"/>
      <c r="AA444" s="1"/>
    </row>
    <row r="445" spans="1:27" ht="12.7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72"/>
      <c r="W445" s="80"/>
      <c r="X445" s="1"/>
      <c r="Y445" s="1"/>
      <c r="Z445" s="1"/>
      <c r="AA445" s="1"/>
    </row>
    <row r="446" spans="1:27" ht="12.7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72"/>
      <c r="W446" s="80"/>
      <c r="X446" s="1"/>
      <c r="Y446" s="1"/>
      <c r="Z446" s="1"/>
      <c r="AA446" s="1"/>
    </row>
    <row r="447" spans="1:27" ht="12.7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72"/>
      <c r="W447" s="80"/>
      <c r="X447" s="1"/>
      <c r="Y447" s="1"/>
      <c r="Z447" s="1"/>
      <c r="AA447" s="1"/>
    </row>
    <row r="448" spans="1:27" ht="12.7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72"/>
      <c r="W448" s="80"/>
      <c r="X448" s="1"/>
      <c r="Y448" s="1"/>
      <c r="Z448" s="1"/>
      <c r="AA448" s="1"/>
    </row>
    <row r="449" spans="1:27" ht="12.7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72"/>
      <c r="W449" s="80"/>
      <c r="X449" s="1"/>
      <c r="Y449" s="1"/>
      <c r="Z449" s="1"/>
      <c r="AA449" s="1"/>
    </row>
    <row r="450" spans="1:27" ht="12.7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72"/>
      <c r="W450" s="80"/>
      <c r="X450" s="1"/>
      <c r="Y450" s="1"/>
      <c r="Z450" s="1"/>
      <c r="AA450" s="1"/>
    </row>
    <row r="451" spans="1:27" ht="12.7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72"/>
      <c r="W451" s="80"/>
      <c r="X451" s="1"/>
      <c r="Y451" s="1"/>
      <c r="Z451" s="1"/>
      <c r="AA451" s="1"/>
    </row>
    <row r="452" spans="1:27" ht="12.7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72"/>
      <c r="W452" s="80"/>
      <c r="X452" s="1"/>
      <c r="Y452" s="1"/>
      <c r="Z452" s="1"/>
      <c r="AA452" s="1"/>
    </row>
    <row r="453" spans="1:27" ht="12.7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72"/>
      <c r="W453" s="80"/>
      <c r="X453" s="1"/>
      <c r="Y453" s="1"/>
      <c r="Z453" s="1"/>
      <c r="AA453" s="1"/>
    </row>
    <row r="454" spans="1:27" ht="12.7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72"/>
      <c r="W454" s="80"/>
      <c r="X454" s="1"/>
      <c r="Y454" s="1"/>
      <c r="Z454" s="1"/>
      <c r="AA454" s="1"/>
    </row>
    <row r="455" spans="1:27" ht="12.7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72"/>
      <c r="W455" s="80"/>
      <c r="X455" s="1"/>
      <c r="Y455" s="1"/>
      <c r="Z455" s="1"/>
      <c r="AA455" s="1"/>
    </row>
    <row r="456" spans="1:27" ht="12.7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72"/>
      <c r="W456" s="80"/>
      <c r="X456" s="1"/>
      <c r="Y456" s="1"/>
      <c r="Z456" s="1"/>
      <c r="AA456" s="1"/>
    </row>
    <row r="457" spans="1:27" ht="12.7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72"/>
      <c r="W457" s="80"/>
      <c r="X457" s="1"/>
      <c r="Y457" s="1"/>
      <c r="Z457" s="1"/>
      <c r="AA457" s="1"/>
    </row>
    <row r="458" spans="1:27" ht="12.7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72"/>
      <c r="W458" s="80"/>
      <c r="X458" s="1"/>
      <c r="Y458" s="1"/>
      <c r="Z458" s="1"/>
      <c r="AA458" s="1"/>
    </row>
    <row r="459" spans="1:27" ht="12.7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72"/>
      <c r="W459" s="80"/>
      <c r="X459" s="1"/>
      <c r="Y459" s="1"/>
      <c r="Z459" s="1"/>
      <c r="AA459" s="1"/>
    </row>
    <row r="460" spans="1:27" ht="12.7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72"/>
      <c r="W460" s="80"/>
      <c r="X460" s="1"/>
      <c r="Y460" s="1"/>
      <c r="Z460" s="1"/>
      <c r="AA460" s="1"/>
    </row>
    <row r="461" spans="1:27" ht="12.7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72"/>
      <c r="W461" s="80"/>
      <c r="X461" s="1"/>
      <c r="Y461" s="1"/>
      <c r="Z461" s="1"/>
      <c r="AA461" s="1"/>
    </row>
    <row r="462" spans="1:27" ht="12.7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72"/>
      <c r="W462" s="80"/>
      <c r="X462" s="1"/>
      <c r="Y462" s="1"/>
      <c r="Z462" s="1"/>
      <c r="AA462" s="1"/>
    </row>
    <row r="463" spans="1:27" ht="12.7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72"/>
      <c r="W463" s="80"/>
      <c r="X463" s="1"/>
      <c r="Y463" s="1"/>
      <c r="Z463" s="1"/>
      <c r="AA463" s="1"/>
    </row>
    <row r="464" spans="1:27" ht="12.7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72"/>
      <c r="W464" s="80"/>
      <c r="X464" s="1"/>
      <c r="Y464" s="1"/>
      <c r="Z464" s="1"/>
      <c r="AA464" s="1"/>
    </row>
    <row r="465" spans="1:27" ht="12.7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72"/>
      <c r="W465" s="80"/>
      <c r="X465" s="1"/>
      <c r="Y465" s="1"/>
      <c r="Z465" s="1"/>
      <c r="AA465" s="1"/>
    </row>
    <row r="466" spans="1:27" ht="12.7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72"/>
      <c r="W466" s="80"/>
      <c r="X466" s="1"/>
      <c r="Y466" s="1"/>
      <c r="Z466" s="1"/>
      <c r="AA466" s="1"/>
    </row>
    <row r="467" spans="1:27" ht="12.7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72"/>
      <c r="W467" s="80"/>
      <c r="X467" s="1"/>
      <c r="Y467" s="1"/>
      <c r="Z467" s="1"/>
      <c r="AA467" s="1"/>
    </row>
    <row r="468" spans="1:27" ht="12.7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72"/>
      <c r="W468" s="80"/>
      <c r="X468" s="1"/>
      <c r="Y468" s="1"/>
      <c r="Z468" s="1"/>
      <c r="AA468" s="1"/>
    </row>
    <row r="469" spans="1:27" ht="12.7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72"/>
      <c r="W469" s="80"/>
      <c r="X469" s="1"/>
      <c r="Y469" s="1"/>
      <c r="Z469" s="1"/>
      <c r="AA469" s="1"/>
    </row>
    <row r="470" spans="1:27" ht="12.7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72"/>
      <c r="W470" s="80"/>
      <c r="X470" s="1"/>
      <c r="Y470" s="1"/>
      <c r="Z470" s="1"/>
      <c r="AA470" s="1"/>
    </row>
    <row r="471" spans="1:27" ht="12.7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72"/>
      <c r="W471" s="80"/>
      <c r="X471" s="1"/>
      <c r="Y471" s="1"/>
      <c r="Z471" s="1"/>
      <c r="AA471" s="1"/>
    </row>
    <row r="472" spans="1:27" ht="12.7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72"/>
      <c r="W472" s="80"/>
      <c r="X472" s="1"/>
      <c r="Y472" s="1"/>
      <c r="Z472" s="1"/>
      <c r="AA472" s="1"/>
    </row>
    <row r="473" spans="1:27" ht="12.7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72"/>
      <c r="W473" s="80"/>
      <c r="X473" s="1"/>
      <c r="Y473" s="1"/>
      <c r="Z473" s="1"/>
      <c r="AA473" s="1"/>
    </row>
    <row r="474" spans="1:27" ht="12.7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72"/>
      <c r="W474" s="80"/>
      <c r="X474" s="1"/>
      <c r="Y474" s="1"/>
      <c r="Z474" s="1"/>
      <c r="AA474" s="1"/>
    </row>
    <row r="475" spans="1:27" ht="12.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72"/>
      <c r="W475" s="80"/>
      <c r="X475" s="1"/>
      <c r="Y475" s="1"/>
      <c r="Z475" s="1"/>
      <c r="AA475" s="1"/>
    </row>
    <row r="476" spans="1:27" ht="12.7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72"/>
      <c r="W476" s="80"/>
      <c r="X476" s="1"/>
      <c r="Y476" s="1"/>
      <c r="Z476" s="1"/>
      <c r="AA476" s="1"/>
    </row>
    <row r="477" spans="1:27" ht="12.7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72"/>
      <c r="W477" s="80"/>
      <c r="X477" s="1"/>
      <c r="Y477" s="1"/>
      <c r="Z477" s="1"/>
      <c r="AA477" s="1"/>
    </row>
    <row r="478" spans="1:27" ht="12.7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72"/>
      <c r="W478" s="80"/>
      <c r="X478" s="1"/>
      <c r="Y478" s="1"/>
      <c r="Z478" s="1"/>
      <c r="AA478" s="1"/>
    </row>
    <row r="479" spans="1:27" ht="12.7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72"/>
      <c r="W479" s="80"/>
      <c r="X479" s="1"/>
      <c r="Y479" s="1"/>
      <c r="Z479" s="1"/>
      <c r="AA479" s="1"/>
    </row>
    <row r="480" spans="1:27" ht="12.7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72"/>
      <c r="W480" s="80"/>
      <c r="X480" s="1"/>
      <c r="Y480" s="1"/>
      <c r="Z480" s="1"/>
      <c r="AA480" s="1"/>
    </row>
    <row r="481" spans="1:27" ht="12.7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72"/>
      <c r="W481" s="80"/>
      <c r="X481" s="1"/>
      <c r="Y481" s="1"/>
      <c r="Z481" s="1"/>
      <c r="AA481" s="1"/>
    </row>
    <row r="482" spans="1:27" ht="12.7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72"/>
      <c r="W482" s="80"/>
      <c r="X482" s="1"/>
      <c r="Y482" s="1"/>
      <c r="Z482" s="1"/>
      <c r="AA482" s="1"/>
    </row>
    <row r="483" spans="1:27" ht="12.7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72"/>
      <c r="W483" s="80"/>
      <c r="X483" s="1"/>
      <c r="Y483" s="1"/>
      <c r="Z483" s="1"/>
      <c r="AA483" s="1"/>
    </row>
    <row r="484" spans="1:27" ht="12.7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72"/>
      <c r="W484" s="80"/>
      <c r="X484" s="1"/>
      <c r="Y484" s="1"/>
      <c r="Z484" s="1"/>
      <c r="AA484" s="1"/>
    </row>
    <row r="485" spans="1:27" ht="12.7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72"/>
      <c r="W485" s="80"/>
      <c r="X485" s="1"/>
      <c r="Y485" s="1"/>
      <c r="Z485" s="1"/>
      <c r="AA485" s="1"/>
    </row>
    <row r="486" spans="1:27" ht="12.7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72"/>
      <c r="W486" s="80"/>
      <c r="X486" s="1"/>
      <c r="Y486" s="1"/>
      <c r="Z486" s="1"/>
      <c r="AA486" s="1"/>
    </row>
    <row r="487" spans="1:27" ht="12.7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72"/>
      <c r="W487" s="80"/>
      <c r="X487" s="1"/>
      <c r="Y487" s="1"/>
      <c r="Z487" s="1"/>
      <c r="AA487" s="1"/>
    </row>
    <row r="488" spans="1:27" ht="12.7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72"/>
      <c r="W488" s="80"/>
      <c r="X488" s="1"/>
      <c r="Y488" s="1"/>
      <c r="Z488" s="1"/>
      <c r="AA488" s="1"/>
    </row>
    <row r="489" spans="1:27" ht="12.7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72"/>
      <c r="W489" s="80"/>
      <c r="X489" s="1"/>
      <c r="Y489" s="1"/>
      <c r="Z489" s="1"/>
      <c r="AA489" s="1"/>
    </row>
    <row r="490" spans="1:27" ht="12.7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72"/>
      <c r="W490" s="80"/>
      <c r="X490" s="1"/>
      <c r="Y490" s="1"/>
      <c r="Z490" s="1"/>
      <c r="AA490" s="1"/>
    </row>
    <row r="491" spans="1:27" ht="12.7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72"/>
      <c r="W491" s="80"/>
      <c r="X491" s="1"/>
      <c r="Y491" s="1"/>
      <c r="Z491" s="1"/>
      <c r="AA491" s="1"/>
    </row>
    <row r="492" spans="1:27" ht="12.7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72"/>
      <c r="W492" s="80"/>
      <c r="X492" s="1"/>
      <c r="Y492" s="1"/>
      <c r="Z492" s="1"/>
      <c r="AA492" s="1"/>
    </row>
    <row r="493" spans="1:27" ht="12.7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72"/>
      <c r="W493" s="80"/>
      <c r="X493" s="1"/>
      <c r="Y493" s="1"/>
      <c r="Z493" s="1"/>
      <c r="AA493" s="1"/>
    </row>
    <row r="494" spans="1:27" ht="12.7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72"/>
      <c r="W494" s="80"/>
      <c r="X494" s="1"/>
      <c r="Y494" s="1"/>
      <c r="Z494" s="1"/>
      <c r="AA494" s="1"/>
    </row>
    <row r="495" spans="1:27" ht="12.7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72"/>
      <c r="W495" s="80"/>
      <c r="X495" s="1"/>
      <c r="Y495" s="1"/>
      <c r="Z495" s="1"/>
      <c r="AA495" s="1"/>
    </row>
    <row r="496" spans="1:27" ht="12.7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72"/>
      <c r="W496" s="80"/>
      <c r="X496" s="1"/>
      <c r="Y496" s="1"/>
      <c r="Z496" s="1"/>
      <c r="AA496" s="1"/>
    </row>
    <row r="497" spans="1:27" ht="12.7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72"/>
      <c r="W497" s="80"/>
      <c r="X497" s="1"/>
      <c r="Y497" s="1"/>
      <c r="Z497" s="1"/>
      <c r="AA497" s="1"/>
    </row>
    <row r="498" spans="1:27" ht="12.7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72"/>
      <c r="W498" s="80"/>
      <c r="X498" s="1"/>
      <c r="Y498" s="1"/>
      <c r="Z498" s="1"/>
      <c r="AA498" s="1"/>
    </row>
    <row r="499" spans="1:27" ht="12.7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72"/>
      <c r="W499" s="80"/>
      <c r="X499" s="1"/>
      <c r="Y499" s="1"/>
      <c r="Z499" s="1"/>
      <c r="AA499" s="1"/>
    </row>
    <row r="500" spans="1:27" ht="12.7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72"/>
      <c r="W500" s="80"/>
      <c r="X500" s="1"/>
      <c r="Y500" s="1"/>
      <c r="Z500" s="1"/>
      <c r="AA500" s="1"/>
    </row>
    <row r="501" spans="1:27" ht="12.7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72"/>
      <c r="W501" s="80"/>
      <c r="X501" s="1"/>
      <c r="Y501" s="1"/>
      <c r="Z501" s="1"/>
      <c r="AA501" s="1"/>
    </row>
    <row r="502" spans="1:27" ht="12.7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72"/>
      <c r="W502" s="80"/>
      <c r="X502" s="1"/>
      <c r="Y502" s="1"/>
      <c r="Z502" s="1"/>
      <c r="AA502" s="1"/>
    </row>
    <row r="503" spans="1:27" ht="12.7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72"/>
      <c r="W503" s="80"/>
      <c r="X503" s="1"/>
      <c r="Y503" s="1"/>
      <c r="Z503" s="1"/>
      <c r="AA503" s="1"/>
    </row>
    <row r="504" spans="1:27" ht="12.7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72"/>
      <c r="W504" s="80"/>
      <c r="X504" s="1"/>
      <c r="Y504" s="1"/>
      <c r="Z504" s="1"/>
      <c r="AA504" s="1"/>
    </row>
    <row r="505" spans="1:27" ht="12.7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72"/>
      <c r="W505" s="80"/>
      <c r="X505" s="1"/>
      <c r="Y505" s="1"/>
      <c r="Z505" s="1"/>
      <c r="AA505" s="1"/>
    </row>
    <row r="506" spans="1:27" ht="12.7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72"/>
      <c r="W506" s="80"/>
      <c r="X506" s="1"/>
      <c r="Y506" s="1"/>
      <c r="Z506" s="1"/>
      <c r="AA506" s="1"/>
    </row>
    <row r="507" spans="1:27" ht="12.7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72"/>
      <c r="W507" s="80"/>
      <c r="X507" s="1"/>
      <c r="Y507" s="1"/>
      <c r="Z507" s="1"/>
      <c r="AA507" s="1"/>
    </row>
    <row r="508" spans="1:27" ht="12.7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72"/>
      <c r="W508" s="80"/>
      <c r="X508" s="1"/>
      <c r="Y508" s="1"/>
      <c r="Z508" s="1"/>
      <c r="AA508" s="1"/>
    </row>
    <row r="509" spans="1:27" ht="12.7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72"/>
      <c r="W509" s="80"/>
      <c r="X509" s="1"/>
      <c r="Y509" s="1"/>
      <c r="Z509" s="1"/>
      <c r="AA509" s="1"/>
    </row>
    <row r="510" spans="1:27" ht="12.7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72"/>
      <c r="W510" s="80"/>
      <c r="X510" s="1"/>
      <c r="Y510" s="1"/>
      <c r="Z510" s="1"/>
      <c r="AA510" s="1"/>
    </row>
    <row r="511" spans="1:27" ht="12.7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72"/>
      <c r="W511" s="80"/>
      <c r="X511" s="1"/>
      <c r="Y511" s="1"/>
      <c r="Z511" s="1"/>
      <c r="AA511" s="1"/>
    </row>
    <row r="512" spans="1:27" ht="12.7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72"/>
      <c r="W512" s="80"/>
      <c r="X512" s="1"/>
      <c r="Y512" s="1"/>
      <c r="Z512" s="1"/>
      <c r="AA512" s="1"/>
    </row>
    <row r="513" spans="1:27" ht="12.7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72"/>
      <c r="W513" s="80"/>
      <c r="X513" s="1"/>
      <c r="Y513" s="1"/>
      <c r="Z513" s="1"/>
      <c r="AA513" s="1"/>
    </row>
    <row r="514" spans="1:27" ht="12.7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72"/>
      <c r="W514" s="80"/>
      <c r="X514" s="1"/>
      <c r="Y514" s="1"/>
      <c r="Z514" s="1"/>
      <c r="AA514" s="1"/>
    </row>
    <row r="515" spans="1:27" ht="12.7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72"/>
      <c r="W515" s="80"/>
      <c r="X515" s="1"/>
      <c r="Y515" s="1"/>
      <c r="Z515" s="1"/>
      <c r="AA515" s="1"/>
    </row>
    <row r="516" spans="1:27" ht="12.7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72"/>
      <c r="W516" s="80"/>
      <c r="X516" s="1"/>
      <c r="Y516" s="1"/>
      <c r="Z516" s="1"/>
      <c r="AA516" s="1"/>
    </row>
    <row r="517" spans="1:27" ht="12.7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72"/>
      <c r="W517" s="80"/>
      <c r="X517" s="1"/>
      <c r="Y517" s="1"/>
      <c r="Z517" s="1"/>
      <c r="AA517" s="1"/>
    </row>
    <row r="518" spans="1:27" ht="12.7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72"/>
      <c r="W518" s="80"/>
      <c r="X518" s="1"/>
      <c r="Y518" s="1"/>
      <c r="Z518" s="1"/>
      <c r="AA518" s="1"/>
    </row>
    <row r="519" spans="1:27" ht="12.7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72"/>
      <c r="W519" s="80"/>
      <c r="X519" s="1"/>
      <c r="Y519" s="1"/>
      <c r="Z519" s="1"/>
      <c r="AA519" s="1"/>
    </row>
    <row r="520" spans="1:27" ht="12.7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72"/>
      <c r="W520" s="80"/>
      <c r="X520" s="1"/>
      <c r="Y520" s="1"/>
      <c r="Z520" s="1"/>
      <c r="AA520" s="1"/>
    </row>
    <row r="521" spans="1:27" ht="12.7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72"/>
      <c r="W521" s="80"/>
      <c r="X521" s="1"/>
      <c r="Y521" s="1"/>
      <c r="Z521" s="1"/>
      <c r="AA521" s="1"/>
    </row>
    <row r="522" spans="1:27" ht="12.7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72"/>
      <c r="W522" s="80"/>
      <c r="X522" s="1"/>
      <c r="Y522" s="1"/>
      <c r="Z522" s="1"/>
      <c r="AA522" s="1"/>
    </row>
    <row r="523" spans="1:27" ht="12.7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72"/>
      <c r="W523" s="80"/>
      <c r="X523" s="1"/>
      <c r="Y523" s="1"/>
      <c r="Z523" s="1"/>
      <c r="AA523" s="1"/>
    </row>
    <row r="524" spans="1:27" ht="12.7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72"/>
      <c r="W524" s="80"/>
      <c r="X524" s="1"/>
      <c r="Y524" s="1"/>
      <c r="Z524" s="1"/>
      <c r="AA524" s="1"/>
    </row>
    <row r="525" spans="1:27" ht="12.7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72"/>
      <c r="W525" s="80"/>
      <c r="X525" s="1"/>
      <c r="Y525" s="1"/>
      <c r="Z525" s="1"/>
      <c r="AA525" s="1"/>
    </row>
    <row r="526" spans="1:27" ht="12.7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72"/>
      <c r="W526" s="80"/>
      <c r="X526" s="1"/>
      <c r="Y526" s="1"/>
      <c r="Z526" s="1"/>
      <c r="AA526" s="1"/>
    </row>
    <row r="527" spans="1:27" ht="12.7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72"/>
      <c r="W527" s="80"/>
      <c r="X527" s="1"/>
      <c r="Y527" s="1"/>
      <c r="Z527" s="1"/>
      <c r="AA527" s="1"/>
    </row>
    <row r="528" spans="1:27" ht="12.7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72"/>
      <c r="W528" s="80"/>
      <c r="X528" s="1"/>
      <c r="Y528" s="1"/>
      <c r="Z528" s="1"/>
      <c r="AA528" s="1"/>
    </row>
    <row r="529" spans="1:27" ht="12.7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72"/>
      <c r="W529" s="80"/>
      <c r="X529" s="1"/>
      <c r="Y529" s="1"/>
      <c r="Z529" s="1"/>
      <c r="AA529" s="1"/>
    </row>
    <row r="530" spans="1:27" ht="12.7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72"/>
      <c r="W530" s="80"/>
      <c r="X530" s="1"/>
      <c r="Y530" s="1"/>
      <c r="Z530" s="1"/>
      <c r="AA530" s="1"/>
    </row>
    <row r="531" spans="1:27" ht="12.7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72"/>
      <c r="W531" s="80"/>
      <c r="X531" s="1"/>
      <c r="Y531" s="1"/>
      <c r="Z531" s="1"/>
      <c r="AA531" s="1"/>
    </row>
    <row r="532" spans="1:27" ht="12.7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72"/>
      <c r="W532" s="80"/>
      <c r="X532" s="1"/>
      <c r="Y532" s="1"/>
      <c r="Z532" s="1"/>
      <c r="AA532" s="1"/>
    </row>
    <row r="533" spans="1:27" ht="12.7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72"/>
      <c r="W533" s="80"/>
      <c r="X533" s="1"/>
      <c r="Y533" s="1"/>
      <c r="Z533" s="1"/>
      <c r="AA533" s="1"/>
    </row>
    <row r="534" spans="1:27" ht="12.7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72"/>
      <c r="W534" s="80"/>
      <c r="X534" s="1"/>
      <c r="Y534" s="1"/>
      <c r="Z534" s="1"/>
      <c r="AA534" s="1"/>
    </row>
    <row r="535" spans="1:27" ht="12.7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72"/>
      <c r="W535" s="80"/>
      <c r="X535" s="1"/>
      <c r="Y535" s="1"/>
      <c r="Z535" s="1"/>
      <c r="AA535" s="1"/>
    </row>
    <row r="536" spans="1:27" ht="12.7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72"/>
      <c r="W536" s="80"/>
      <c r="X536" s="1"/>
      <c r="Y536" s="1"/>
      <c r="Z536" s="1"/>
      <c r="AA536" s="1"/>
    </row>
    <row r="537" spans="1:27" ht="12.7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72"/>
      <c r="W537" s="80"/>
      <c r="X537" s="1"/>
      <c r="Y537" s="1"/>
      <c r="Z537" s="1"/>
      <c r="AA537" s="1"/>
    </row>
    <row r="538" spans="1:27" ht="12.7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72"/>
      <c r="W538" s="80"/>
      <c r="X538" s="1"/>
      <c r="Y538" s="1"/>
      <c r="Z538" s="1"/>
      <c r="AA538" s="1"/>
    </row>
    <row r="539" spans="1:27" ht="12.7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72"/>
      <c r="W539" s="80"/>
      <c r="X539" s="1"/>
      <c r="Y539" s="1"/>
      <c r="Z539" s="1"/>
      <c r="AA539" s="1"/>
    </row>
    <row r="540" spans="1:27" ht="12.7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72"/>
      <c r="W540" s="80"/>
      <c r="X540" s="1"/>
      <c r="Y540" s="1"/>
      <c r="Z540" s="1"/>
      <c r="AA540" s="1"/>
    </row>
    <row r="541" spans="1:27" ht="12.7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72"/>
      <c r="W541" s="80"/>
      <c r="X541" s="1"/>
      <c r="Y541" s="1"/>
      <c r="Z541" s="1"/>
      <c r="AA541" s="1"/>
    </row>
    <row r="542" spans="1:27" ht="12.7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72"/>
      <c r="W542" s="80"/>
      <c r="X542" s="1"/>
      <c r="Y542" s="1"/>
      <c r="Z542" s="1"/>
      <c r="AA542" s="1"/>
    </row>
    <row r="543" spans="1:27" ht="12.7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72"/>
      <c r="W543" s="80"/>
      <c r="X543" s="1"/>
      <c r="Y543" s="1"/>
      <c r="Z543" s="1"/>
      <c r="AA543" s="1"/>
    </row>
    <row r="544" spans="1:27" ht="12.7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72"/>
      <c r="W544" s="80"/>
      <c r="X544" s="1"/>
      <c r="Y544" s="1"/>
      <c r="Z544" s="1"/>
      <c r="AA544" s="1"/>
    </row>
    <row r="545" spans="1:27" ht="12.7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72"/>
      <c r="W545" s="80"/>
      <c r="X545" s="1"/>
      <c r="Y545" s="1"/>
      <c r="Z545" s="1"/>
      <c r="AA545" s="1"/>
    </row>
    <row r="546" spans="1:27" ht="12.7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72"/>
      <c r="W546" s="80"/>
      <c r="X546" s="1"/>
      <c r="Y546" s="1"/>
      <c r="Z546" s="1"/>
      <c r="AA546" s="1"/>
    </row>
    <row r="547" spans="1:27" ht="12.7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72"/>
      <c r="W547" s="80"/>
      <c r="X547" s="1"/>
      <c r="Y547" s="1"/>
      <c r="Z547" s="1"/>
      <c r="AA547" s="1"/>
    </row>
    <row r="548" spans="1:27" ht="12.7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72"/>
      <c r="W548" s="80"/>
      <c r="X548" s="1"/>
      <c r="Y548" s="1"/>
      <c r="Z548" s="1"/>
      <c r="AA548" s="1"/>
    </row>
    <row r="549" spans="1:27" ht="12.7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72"/>
      <c r="W549" s="80"/>
      <c r="X549" s="1"/>
      <c r="Y549" s="1"/>
      <c r="Z549" s="1"/>
      <c r="AA549" s="1"/>
    </row>
    <row r="550" spans="1:27" ht="12.7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72"/>
      <c r="W550" s="80"/>
      <c r="X550" s="1"/>
      <c r="Y550" s="1"/>
      <c r="Z550" s="1"/>
      <c r="AA550" s="1"/>
    </row>
    <row r="551" spans="1:27" ht="12.7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72"/>
      <c r="W551" s="80"/>
      <c r="X551" s="1"/>
      <c r="Y551" s="1"/>
      <c r="Z551" s="1"/>
      <c r="AA551" s="1"/>
    </row>
    <row r="552" spans="1:27" ht="12.7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72"/>
      <c r="W552" s="80"/>
      <c r="X552" s="1"/>
      <c r="Y552" s="1"/>
      <c r="Z552" s="1"/>
      <c r="AA552" s="1"/>
    </row>
    <row r="553" spans="1:27" ht="12.7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72"/>
      <c r="W553" s="80"/>
      <c r="X553" s="1"/>
      <c r="Y553" s="1"/>
      <c r="Z553" s="1"/>
      <c r="AA553" s="1"/>
    </row>
    <row r="554" spans="1:27" ht="12.7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72"/>
      <c r="W554" s="80"/>
      <c r="X554" s="1"/>
      <c r="Y554" s="1"/>
      <c r="Z554" s="1"/>
      <c r="AA554" s="1"/>
    </row>
    <row r="555" spans="1:27" ht="12.7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72"/>
      <c r="W555" s="80"/>
      <c r="X555" s="1"/>
      <c r="Y555" s="1"/>
      <c r="Z555" s="1"/>
      <c r="AA555" s="1"/>
    </row>
    <row r="556" spans="1:27" ht="12.7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72"/>
      <c r="W556" s="80"/>
      <c r="X556" s="1"/>
      <c r="Y556" s="1"/>
      <c r="Z556" s="1"/>
      <c r="AA556" s="1"/>
    </row>
    <row r="557" spans="1:27" ht="12.7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72"/>
      <c r="W557" s="80"/>
      <c r="X557" s="1"/>
      <c r="Y557" s="1"/>
      <c r="Z557" s="1"/>
      <c r="AA557" s="1"/>
    </row>
    <row r="558" spans="1:27" ht="12.7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72"/>
      <c r="W558" s="80"/>
      <c r="X558" s="1"/>
      <c r="Y558" s="1"/>
      <c r="Z558" s="1"/>
      <c r="AA558" s="1"/>
    </row>
    <row r="559" spans="1:27" ht="12.7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72"/>
      <c r="W559" s="80"/>
      <c r="X559" s="1"/>
      <c r="Y559" s="1"/>
      <c r="Z559" s="1"/>
      <c r="AA559" s="1"/>
    </row>
    <row r="560" spans="1:27" ht="12.7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72"/>
      <c r="W560" s="80"/>
      <c r="X560" s="1"/>
      <c r="Y560" s="1"/>
      <c r="Z560" s="1"/>
      <c r="AA560" s="1"/>
    </row>
    <row r="561" spans="1:27" ht="12.7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72"/>
      <c r="W561" s="80"/>
      <c r="X561" s="1"/>
      <c r="Y561" s="1"/>
      <c r="Z561" s="1"/>
      <c r="AA561" s="1"/>
    </row>
    <row r="562" spans="1:27" ht="12.7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72"/>
      <c r="W562" s="80"/>
      <c r="X562" s="1"/>
      <c r="Y562" s="1"/>
      <c r="Z562" s="1"/>
      <c r="AA562" s="1"/>
    </row>
    <row r="563" spans="1:27" ht="12.7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72"/>
      <c r="W563" s="80"/>
      <c r="X563" s="1"/>
      <c r="Y563" s="1"/>
      <c r="Z563" s="1"/>
      <c r="AA563" s="1"/>
    </row>
    <row r="564" spans="1:27" ht="12.7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72"/>
      <c r="W564" s="80"/>
      <c r="X564" s="1"/>
      <c r="Y564" s="1"/>
      <c r="Z564" s="1"/>
      <c r="AA564" s="1"/>
    </row>
    <row r="565" spans="1:27" ht="12.7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72"/>
      <c r="W565" s="80"/>
      <c r="X565" s="1"/>
      <c r="Y565" s="1"/>
      <c r="Z565" s="1"/>
      <c r="AA565" s="1"/>
    </row>
    <row r="566" spans="1:27" ht="12.7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72"/>
      <c r="W566" s="80"/>
      <c r="X566" s="1"/>
      <c r="Y566" s="1"/>
      <c r="Z566" s="1"/>
      <c r="AA566" s="1"/>
    </row>
    <row r="567" spans="1:27" ht="12.7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72"/>
      <c r="W567" s="80"/>
      <c r="X567" s="1"/>
      <c r="Y567" s="1"/>
      <c r="Z567" s="1"/>
      <c r="AA567" s="1"/>
    </row>
    <row r="568" spans="1:27" ht="12.7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72"/>
      <c r="W568" s="80"/>
      <c r="X568" s="1"/>
      <c r="Y568" s="1"/>
      <c r="Z568" s="1"/>
      <c r="AA568" s="1"/>
    </row>
    <row r="569" spans="1:27" ht="12.7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72"/>
      <c r="W569" s="80"/>
      <c r="X569" s="1"/>
      <c r="Y569" s="1"/>
      <c r="Z569" s="1"/>
      <c r="AA569" s="1"/>
    </row>
    <row r="570" spans="1:27" ht="12.7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72"/>
      <c r="W570" s="80"/>
      <c r="X570" s="1"/>
      <c r="Y570" s="1"/>
      <c r="Z570" s="1"/>
      <c r="AA570" s="1"/>
    </row>
    <row r="571" spans="1:27" ht="12.7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72"/>
      <c r="W571" s="80"/>
      <c r="X571" s="1"/>
      <c r="Y571" s="1"/>
      <c r="Z571" s="1"/>
      <c r="AA571" s="1"/>
    </row>
    <row r="572" spans="1:27" ht="12.7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72"/>
      <c r="W572" s="80"/>
      <c r="X572" s="1"/>
      <c r="Y572" s="1"/>
      <c r="Z572" s="1"/>
      <c r="AA572" s="1"/>
    </row>
    <row r="573" spans="1:27" ht="12.7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72"/>
      <c r="W573" s="80"/>
      <c r="X573" s="1"/>
      <c r="Y573" s="1"/>
      <c r="Z573" s="1"/>
      <c r="AA573" s="1"/>
    </row>
    <row r="574" spans="1:27" ht="12.7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72"/>
      <c r="W574" s="80"/>
      <c r="X574" s="1"/>
      <c r="Y574" s="1"/>
      <c r="Z574" s="1"/>
      <c r="AA574" s="1"/>
    </row>
    <row r="575" spans="1:27" ht="12.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72"/>
      <c r="W575" s="80"/>
      <c r="X575" s="1"/>
      <c r="Y575" s="1"/>
      <c r="Z575" s="1"/>
      <c r="AA575" s="1"/>
    </row>
    <row r="576" spans="1:27" ht="12.7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72"/>
      <c r="W576" s="80"/>
      <c r="X576" s="1"/>
      <c r="Y576" s="1"/>
      <c r="Z576" s="1"/>
      <c r="AA576" s="1"/>
    </row>
    <row r="577" spans="1:27" ht="12.7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72"/>
      <c r="W577" s="80"/>
      <c r="X577" s="1"/>
      <c r="Y577" s="1"/>
      <c r="Z577" s="1"/>
      <c r="AA577" s="1"/>
    </row>
    <row r="578" spans="1:27" ht="12.7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72"/>
      <c r="W578" s="80"/>
      <c r="X578" s="1"/>
      <c r="Y578" s="1"/>
      <c r="Z578" s="1"/>
      <c r="AA578" s="1"/>
    </row>
    <row r="579" spans="1:27" ht="12.7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72"/>
      <c r="W579" s="80"/>
      <c r="X579" s="1"/>
      <c r="Y579" s="1"/>
      <c r="Z579" s="1"/>
      <c r="AA579" s="1"/>
    </row>
    <row r="580" spans="1:27" ht="12.7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72"/>
      <c r="W580" s="80"/>
      <c r="X580" s="1"/>
      <c r="Y580" s="1"/>
      <c r="Z580" s="1"/>
      <c r="AA580" s="1"/>
    </row>
    <row r="581" spans="1:27" ht="12.7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72"/>
      <c r="W581" s="80"/>
      <c r="X581" s="1"/>
      <c r="Y581" s="1"/>
      <c r="Z581" s="1"/>
      <c r="AA581" s="1"/>
    </row>
    <row r="582" spans="1:27" ht="12.7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72"/>
      <c r="W582" s="80"/>
      <c r="X582" s="1"/>
      <c r="Y582" s="1"/>
      <c r="Z582" s="1"/>
      <c r="AA582" s="1"/>
    </row>
    <row r="583" spans="1:27" ht="12.7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72"/>
      <c r="W583" s="80"/>
      <c r="X583" s="1"/>
      <c r="Y583" s="1"/>
      <c r="Z583" s="1"/>
      <c r="AA583" s="1"/>
    </row>
    <row r="584" spans="1:27" ht="12.7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72"/>
      <c r="W584" s="80"/>
      <c r="X584" s="1"/>
      <c r="Y584" s="1"/>
      <c r="Z584" s="1"/>
      <c r="AA584" s="1"/>
    </row>
    <row r="585" spans="1:27" ht="12.7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72"/>
      <c r="W585" s="80"/>
      <c r="X585" s="1"/>
      <c r="Y585" s="1"/>
      <c r="Z585" s="1"/>
      <c r="AA585" s="1"/>
    </row>
    <row r="586" spans="1:27" ht="12.7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72"/>
      <c r="W586" s="80"/>
      <c r="X586" s="1"/>
      <c r="Y586" s="1"/>
      <c r="Z586" s="1"/>
      <c r="AA586" s="1"/>
    </row>
    <row r="587" spans="1:27" ht="12.7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72"/>
      <c r="W587" s="80"/>
      <c r="X587" s="1"/>
      <c r="Y587" s="1"/>
      <c r="Z587" s="1"/>
      <c r="AA587" s="1"/>
    </row>
    <row r="588" spans="1:27" ht="12.7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72"/>
      <c r="W588" s="80"/>
      <c r="X588" s="1"/>
      <c r="Y588" s="1"/>
      <c r="Z588" s="1"/>
      <c r="AA588" s="1"/>
    </row>
    <row r="589" spans="1:27" ht="12.7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72"/>
      <c r="W589" s="80"/>
      <c r="X589" s="1"/>
      <c r="Y589" s="1"/>
      <c r="Z589" s="1"/>
      <c r="AA589" s="1"/>
    </row>
    <row r="590" spans="1:27" ht="12.7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72"/>
      <c r="W590" s="80"/>
      <c r="X590" s="1"/>
      <c r="Y590" s="1"/>
      <c r="Z590" s="1"/>
      <c r="AA590" s="1"/>
    </row>
    <row r="591" spans="1:27" ht="12.7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72"/>
      <c r="W591" s="80"/>
      <c r="X591" s="1"/>
      <c r="Y591" s="1"/>
      <c r="Z591" s="1"/>
      <c r="AA591" s="1"/>
    </row>
    <row r="592" spans="1:27" ht="12.7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72"/>
      <c r="W592" s="80"/>
      <c r="X592" s="1"/>
      <c r="Y592" s="1"/>
      <c r="Z592" s="1"/>
      <c r="AA592" s="1"/>
    </row>
    <row r="593" spans="1:27" ht="12.7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72"/>
      <c r="W593" s="80"/>
      <c r="X593" s="1"/>
      <c r="Y593" s="1"/>
      <c r="Z593" s="1"/>
      <c r="AA593" s="1"/>
    </row>
    <row r="594" spans="1:27" ht="12.7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72"/>
      <c r="W594" s="80"/>
      <c r="X594" s="1"/>
      <c r="Y594" s="1"/>
      <c r="Z594" s="1"/>
      <c r="AA594" s="1"/>
    </row>
    <row r="595" spans="1:27" ht="12.7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72"/>
      <c r="W595" s="80"/>
      <c r="X595" s="1"/>
      <c r="Y595" s="1"/>
      <c r="Z595" s="1"/>
      <c r="AA595" s="1"/>
    </row>
    <row r="596" spans="1:27" ht="12.7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72"/>
      <c r="W596" s="80"/>
      <c r="X596" s="1"/>
      <c r="Y596" s="1"/>
      <c r="Z596" s="1"/>
      <c r="AA596" s="1"/>
    </row>
    <row r="597" spans="1:27" ht="12.7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72"/>
      <c r="W597" s="80"/>
      <c r="X597" s="1"/>
      <c r="Y597" s="1"/>
      <c r="Z597" s="1"/>
      <c r="AA597" s="1"/>
    </row>
    <row r="598" spans="1:27" ht="12.7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72"/>
      <c r="W598" s="80"/>
      <c r="X598" s="1"/>
      <c r="Y598" s="1"/>
      <c r="Z598" s="1"/>
      <c r="AA598" s="1"/>
    </row>
    <row r="599" spans="1:27" ht="12.7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72"/>
      <c r="W599" s="80"/>
      <c r="X599" s="1"/>
      <c r="Y599" s="1"/>
      <c r="Z599" s="1"/>
      <c r="AA599" s="1"/>
    </row>
    <row r="600" spans="1:27" ht="12.7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72"/>
      <c r="W600" s="80"/>
      <c r="X600" s="1"/>
      <c r="Y600" s="1"/>
      <c r="Z600" s="1"/>
      <c r="AA600" s="1"/>
    </row>
    <row r="601" spans="1:27" ht="12.7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72"/>
      <c r="W601" s="80"/>
      <c r="X601" s="1"/>
      <c r="Y601" s="1"/>
      <c r="Z601" s="1"/>
      <c r="AA601" s="1"/>
    </row>
    <row r="602" spans="1:27" ht="12.7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72"/>
      <c r="W602" s="80"/>
      <c r="X602" s="1"/>
      <c r="Y602" s="1"/>
      <c r="Z602" s="1"/>
      <c r="AA602" s="1"/>
    </row>
    <row r="603" spans="1:27" ht="12.7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72"/>
      <c r="W603" s="80"/>
      <c r="X603" s="1"/>
      <c r="Y603" s="1"/>
      <c r="Z603" s="1"/>
      <c r="AA603" s="1"/>
    </row>
    <row r="604" spans="1:27" ht="12.7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72"/>
      <c r="W604" s="80"/>
      <c r="X604" s="1"/>
      <c r="Y604" s="1"/>
      <c r="Z604" s="1"/>
      <c r="AA604" s="1"/>
    </row>
    <row r="605" spans="1:27" ht="12.7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72"/>
      <c r="W605" s="80"/>
      <c r="X605" s="1"/>
      <c r="Y605" s="1"/>
      <c r="Z605" s="1"/>
      <c r="AA605" s="1"/>
    </row>
    <row r="606" spans="1:27" ht="12.7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72"/>
      <c r="W606" s="80"/>
      <c r="X606" s="1"/>
      <c r="Y606" s="1"/>
      <c r="Z606" s="1"/>
      <c r="AA606" s="1"/>
    </row>
    <row r="607" spans="1:27" ht="12.7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72"/>
      <c r="W607" s="80"/>
      <c r="X607" s="1"/>
      <c r="Y607" s="1"/>
      <c r="Z607" s="1"/>
      <c r="AA607" s="1"/>
    </row>
    <row r="608" spans="1:27" ht="12.7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72"/>
      <c r="W608" s="80"/>
      <c r="X608" s="1"/>
      <c r="Y608" s="1"/>
      <c r="Z608" s="1"/>
      <c r="AA608" s="1"/>
    </row>
    <row r="609" spans="1:27" ht="12.7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72"/>
      <c r="W609" s="80"/>
      <c r="X609" s="1"/>
      <c r="Y609" s="1"/>
      <c r="Z609" s="1"/>
      <c r="AA609" s="1"/>
    </row>
    <row r="610" spans="1:27" ht="12.7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72"/>
      <c r="W610" s="80"/>
      <c r="X610" s="1"/>
      <c r="Y610" s="1"/>
      <c r="Z610" s="1"/>
      <c r="AA610" s="1"/>
    </row>
    <row r="611" spans="1:27" ht="12.7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72"/>
      <c r="W611" s="80"/>
      <c r="X611" s="1"/>
      <c r="Y611" s="1"/>
      <c r="Z611" s="1"/>
      <c r="AA611" s="1"/>
    </row>
    <row r="612" spans="1:27" ht="12.7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72"/>
      <c r="W612" s="80"/>
      <c r="X612" s="1"/>
      <c r="Y612" s="1"/>
      <c r="Z612" s="1"/>
      <c r="AA612" s="1"/>
    </row>
    <row r="613" spans="1:27" ht="12.7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72"/>
      <c r="W613" s="80"/>
      <c r="X613" s="1"/>
      <c r="Y613" s="1"/>
      <c r="Z613" s="1"/>
      <c r="AA613" s="1"/>
    </row>
    <row r="614" spans="1:27" ht="12.7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72"/>
      <c r="W614" s="80"/>
      <c r="X614" s="1"/>
      <c r="Y614" s="1"/>
      <c r="Z614" s="1"/>
      <c r="AA614" s="1"/>
    </row>
    <row r="615" spans="1:27" ht="12.7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72"/>
      <c r="W615" s="80"/>
      <c r="X615" s="1"/>
      <c r="Y615" s="1"/>
      <c r="Z615" s="1"/>
      <c r="AA615" s="1"/>
    </row>
    <row r="616" spans="1:27" ht="12.7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72"/>
      <c r="W616" s="80"/>
      <c r="X616" s="1"/>
      <c r="Y616" s="1"/>
      <c r="Z616" s="1"/>
      <c r="AA616" s="1"/>
    </row>
    <row r="617" spans="1:27" ht="12.7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72"/>
      <c r="W617" s="80"/>
      <c r="X617" s="1"/>
      <c r="Y617" s="1"/>
      <c r="Z617" s="1"/>
      <c r="AA617" s="1"/>
    </row>
    <row r="618" spans="1:27" ht="12.7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72"/>
      <c r="W618" s="80"/>
      <c r="X618" s="1"/>
      <c r="Y618" s="1"/>
      <c r="Z618" s="1"/>
      <c r="AA618" s="1"/>
    </row>
    <row r="619" spans="1:27" ht="12.7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72"/>
      <c r="W619" s="80"/>
      <c r="X619" s="1"/>
      <c r="Y619" s="1"/>
      <c r="Z619" s="1"/>
      <c r="AA619" s="1"/>
    </row>
    <row r="620" spans="1:27" ht="12.7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72"/>
      <c r="W620" s="80"/>
      <c r="X620" s="1"/>
      <c r="Y620" s="1"/>
      <c r="Z620" s="1"/>
      <c r="AA620" s="1"/>
    </row>
    <row r="621" spans="1:27" ht="12.7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72"/>
      <c r="W621" s="80"/>
      <c r="X621" s="1"/>
      <c r="Y621" s="1"/>
      <c r="Z621" s="1"/>
      <c r="AA621" s="1"/>
    </row>
    <row r="622" spans="1:27" ht="12.7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72"/>
      <c r="W622" s="80"/>
      <c r="X622" s="1"/>
      <c r="Y622" s="1"/>
      <c r="Z622" s="1"/>
      <c r="AA622" s="1"/>
    </row>
    <row r="623" spans="1:27" ht="12.7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72"/>
      <c r="W623" s="80"/>
      <c r="X623" s="1"/>
      <c r="Y623" s="1"/>
      <c r="Z623" s="1"/>
      <c r="AA623" s="1"/>
    </row>
    <row r="624" spans="1:27" ht="12.7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72"/>
      <c r="W624" s="80"/>
      <c r="X624" s="1"/>
      <c r="Y624" s="1"/>
      <c r="Z624" s="1"/>
      <c r="AA624" s="1"/>
    </row>
    <row r="625" spans="1:27" ht="12.7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72"/>
      <c r="W625" s="80"/>
      <c r="X625" s="1"/>
      <c r="Y625" s="1"/>
      <c r="Z625" s="1"/>
      <c r="AA625" s="1"/>
    </row>
    <row r="626" spans="1:27" ht="12.7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72"/>
      <c r="W626" s="80"/>
      <c r="X626" s="1"/>
      <c r="Y626" s="1"/>
      <c r="Z626" s="1"/>
      <c r="AA626" s="1"/>
    </row>
    <row r="627" spans="1:27" ht="12.7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72"/>
      <c r="W627" s="80"/>
      <c r="X627" s="1"/>
      <c r="Y627" s="1"/>
      <c r="Z627" s="1"/>
      <c r="AA627" s="1"/>
    </row>
    <row r="628" spans="1:27" ht="12.7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72"/>
      <c r="W628" s="80"/>
      <c r="X628" s="1"/>
      <c r="Y628" s="1"/>
      <c r="Z628" s="1"/>
      <c r="AA628" s="1"/>
    </row>
    <row r="629" spans="1:27" ht="12.7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72"/>
      <c r="W629" s="80"/>
      <c r="X629" s="1"/>
      <c r="Y629" s="1"/>
      <c r="Z629" s="1"/>
      <c r="AA629" s="1"/>
    </row>
    <row r="630" spans="1:27" ht="12.7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72"/>
      <c r="W630" s="80"/>
      <c r="X630" s="1"/>
      <c r="Y630" s="1"/>
      <c r="Z630" s="1"/>
      <c r="AA630" s="1"/>
    </row>
    <row r="631" spans="1:27" ht="12.7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72"/>
      <c r="W631" s="80"/>
      <c r="X631" s="1"/>
      <c r="Y631" s="1"/>
      <c r="Z631" s="1"/>
      <c r="AA631" s="1"/>
    </row>
    <row r="632" spans="1:27" ht="12.7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72"/>
      <c r="W632" s="80"/>
      <c r="X632" s="1"/>
      <c r="Y632" s="1"/>
      <c r="Z632" s="1"/>
      <c r="AA632" s="1"/>
    </row>
    <row r="633" spans="1:27" ht="12.7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72"/>
      <c r="W633" s="80"/>
      <c r="X633" s="1"/>
      <c r="Y633" s="1"/>
      <c r="Z633" s="1"/>
      <c r="AA633" s="1"/>
    </row>
    <row r="634" spans="1:27" ht="12.7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72"/>
      <c r="W634" s="80"/>
      <c r="X634" s="1"/>
      <c r="Y634" s="1"/>
      <c r="Z634" s="1"/>
      <c r="AA634" s="1"/>
    </row>
    <row r="635" spans="1:27" ht="12.7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72"/>
      <c r="W635" s="80"/>
      <c r="X635" s="1"/>
      <c r="Y635" s="1"/>
      <c r="Z635" s="1"/>
      <c r="AA635" s="1"/>
    </row>
    <row r="636" spans="1:27" ht="12.7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72"/>
      <c r="W636" s="80"/>
      <c r="X636" s="1"/>
      <c r="Y636" s="1"/>
      <c r="Z636" s="1"/>
      <c r="AA636" s="1"/>
    </row>
    <row r="637" spans="1:27" ht="12.7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72"/>
      <c r="W637" s="80"/>
      <c r="X637" s="1"/>
      <c r="Y637" s="1"/>
      <c r="Z637" s="1"/>
      <c r="AA637" s="1"/>
    </row>
    <row r="638" spans="1:27" ht="12.7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72"/>
      <c r="W638" s="80"/>
      <c r="X638" s="1"/>
      <c r="Y638" s="1"/>
      <c r="Z638" s="1"/>
      <c r="AA638" s="1"/>
    </row>
    <row r="639" spans="1:27" ht="12.7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72"/>
      <c r="W639" s="80"/>
      <c r="X639" s="1"/>
      <c r="Y639" s="1"/>
      <c r="Z639" s="1"/>
      <c r="AA639" s="1"/>
    </row>
    <row r="640" spans="1:27" ht="12.7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72"/>
      <c r="W640" s="80"/>
      <c r="X640" s="1"/>
      <c r="Y640" s="1"/>
      <c r="Z640" s="1"/>
      <c r="AA640" s="1"/>
    </row>
    <row r="641" spans="1:27" ht="12.7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72"/>
      <c r="W641" s="80"/>
      <c r="X641" s="1"/>
      <c r="Y641" s="1"/>
      <c r="Z641" s="1"/>
      <c r="AA641" s="1"/>
    </row>
    <row r="642" spans="1:27" ht="12.7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72"/>
      <c r="W642" s="80"/>
      <c r="X642" s="1"/>
      <c r="Y642" s="1"/>
      <c r="Z642" s="1"/>
      <c r="AA642" s="1"/>
    </row>
    <row r="643" spans="1:27" ht="12.7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72"/>
      <c r="W643" s="80"/>
      <c r="X643" s="1"/>
      <c r="Y643" s="1"/>
      <c r="Z643" s="1"/>
      <c r="AA643" s="1"/>
    </row>
    <row r="644" spans="1:27" ht="12.7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72"/>
      <c r="W644" s="80"/>
      <c r="X644" s="1"/>
      <c r="Y644" s="1"/>
      <c r="Z644" s="1"/>
      <c r="AA644" s="1"/>
    </row>
    <row r="645" spans="1:27" ht="12.7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72"/>
      <c r="W645" s="80"/>
      <c r="X645" s="1"/>
      <c r="Y645" s="1"/>
      <c r="Z645" s="1"/>
      <c r="AA645" s="1"/>
    </row>
    <row r="646" spans="1:27" ht="12.7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72"/>
      <c r="W646" s="80"/>
      <c r="X646" s="1"/>
      <c r="Y646" s="1"/>
      <c r="Z646" s="1"/>
      <c r="AA646" s="1"/>
    </row>
    <row r="647" spans="1:27" ht="12.7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72"/>
      <c r="W647" s="80"/>
      <c r="X647" s="1"/>
      <c r="Y647" s="1"/>
      <c r="Z647" s="1"/>
      <c r="AA647" s="1"/>
    </row>
    <row r="648" spans="1:27" ht="12.7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72"/>
      <c r="W648" s="80"/>
      <c r="X648" s="1"/>
      <c r="Y648" s="1"/>
      <c r="Z648" s="1"/>
      <c r="AA648" s="1"/>
    </row>
    <row r="649" spans="1:27" ht="12.7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72"/>
      <c r="W649" s="80"/>
      <c r="X649" s="1"/>
      <c r="Y649" s="1"/>
      <c r="Z649" s="1"/>
      <c r="AA649" s="1"/>
    </row>
    <row r="650" spans="1:27" ht="12.7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72"/>
      <c r="W650" s="80"/>
      <c r="X650" s="1"/>
      <c r="Y650" s="1"/>
      <c r="Z650" s="1"/>
      <c r="AA650" s="1"/>
    </row>
    <row r="651" spans="1:27" ht="12.7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72"/>
      <c r="W651" s="80"/>
      <c r="X651" s="1"/>
      <c r="Y651" s="1"/>
      <c r="Z651" s="1"/>
      <c r="AA651" s="1"/>
    </row>
    <row r="652" spans="1:27" ht="12.7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72"/>
      <c r="W652" s="80"/>
      <c r="X652" s="1"/>
      <c r="Y652" s="1"/>
      <c r="Z652" s="1"/>
      <c r="AA652" s="1"/>
    </row>
    <row r="653" spans="1:27" ht="12.7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72"/>
      <c r="W653" s="80"/>
      <c r="X653" s="1"/>
      <c r="Y653" s="1"/>
      <c r="Z653" s="1"/>
      <c r="AA653" s="1"/>
    </row>
    <row r="654" spans="1:27" ht="12.7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72"/>
      <c r="W654" s="80"/>
      <c r="X654" s="1"/>
      <c r="Y654" s="1"/>
      <c r="Z654" s="1"/>
      <c r="AA654" s="1"/>
    </row>
    <row r="655" spans="1:27" ht="12.7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72"/>
      <c r="W655" s="80"/>
      <c r="X655" s="1"/>
      <c r="Y655" s="1"/>
      <c r="Z655" s="1"/>
      <c r="AA655" s="1"/>
    </row>
    <row r="656" spans="1:27" ht="12.7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72"/>
      <c r="W656" s="80"/>
      <c r="X656" s="1"/>
      <c r="Y656" s="1"/>
      <c r="Z656" s="1"/>
      <c r="AA656" s="1"/>
    </row>
    <row r="657" spans="1:27" ht="12.7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72"/>
      <c r="W657" s="80"/>
      <c r="X657" s="1"/>
      <c r="Y657" s="1"/>
      <c r="Z657" s="1"/>
      <c r="AA657" s="1"/>
    </row>
    <row r="658" spans="1:27" ht="12.7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72"/>
      <c r="W658" s="80"/>
      <c r="X658" s="1"/>
      <c r="Y658" s="1"/>
      <c r="Z658" s="1"/>
      <c r="AA658" s="1"/>
    </row>
    <row r="659" spans="1:27" ht="12.7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72"/>
      <c r="W659" s="80"/>
      <c r="X659" s="1"/>
      <c r="Y659" s="1"/>
      <c r="Z659" s="1"/>
      <c r="AA659" s="1"/>
    </row>
    <row r="660" spans="1:27" ht="12.7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72"/>
      <c r="W660" s="80"/>
      <c r="X660" s="1"/>
      <c r="Y660" s="1"/>
      <c r="Z660" s="1"/>
      <c r="AA660" s="1"/>
    </row>
    <row r="661" spans="1:27" ht="12.7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72"/>
      <c r="W661" s="80"/>
      <c r="X661" s="1"/>
      <c r="Y661" s="1"/>
      <c r="Z661" s="1"/>
      <c r="AA661" s="1"/>
    </row>
    <row r="662" spans="1:27" ht="12.7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72"/>
      <c r="W662" s="80"/>
      <c r="X662" s="1"/>
      <c r="Y662" s="1"/>
      <c r="Z662" s="1"/>
      <c r="AA662" s="1"/>
    </row>
    <row r="663" spans="1:27" ht="12.7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72"/>
      <c r="W663" s="80"/>
      <c r="X663" s="1"/>
      <c r="Y663" s="1"/>
      <c r="Z663" s="1"/>
      <c r="AA663" s="1"/>
    </row>
    <row r="664" spans="1:27" ht="12.7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72"/>
      <c r="W664" s="80"/>
      <c r="X664" s="1"/>
      <c r="Y664" s="1"/>
      <c r="Z664" s="1"/>
      <c r="AA664" s="1"/>
    </row>
    <row r="665" spans="1:27" ht="12.7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72"/>
      <c r="W665" s="80"/>
      <c r="X665" s="1"/>
      <c r="Y665" s="1"/>
      <c r="Z665" s="1"/>
      <c r="AA665" s="1"/>
    </row>
    <row r="666" spans="1:27" ht="12.7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72"/>
      <c r="W666" s="80"/>
      <c r="X666" s="1"/>
      <c r="Y666" s="1"/>
      <c r="Z666" s="1"/>
      <c r="AA666" s="1"/>
    </row>
    <row r="667" spans="1:27" ht="12.7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72"/>
      <c r="W667" s="80"/>
      <c r="X667" s="1"/>
      <c r="Y667" s="1"/>
      <c r="Z667" s="1"/>
      <c r="AA667" s="1"/>
    </row>
    <row r="668" spans="1:27" ht="12.7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72"/>
      <c r="W668" s="80"/>
      <c r="X668" s="1"/>
      <c r="Y668" s="1"/>
      <c r="Z668" s="1"/>
      <c r="AA668" s="1"/>
    </row>
    <row r="669" spans="1:27" ht="12.7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72"/>
      <c r="W669" s="80"/>
      <c r="X669" s="1"/>
      <c r="Y669" s="1"/>
      <c r="Z669" s="1"/>
      <c r="AA669" s="1"/>
    </row>
    <row r="670" spans="1:27" ht="12.7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72"/>
      <c r="W670" s="80"/>
      <c r="X670" s="1"/>
      <c r="Y670" s="1"/>
      <c r="Z670" s="1"/>
      <c r="AA670" s="1"/>
    </row>
    <row r="671" spans="1:27" ht="12.7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72"/>
      <c r="W671" s="80"/>
      <c r="X671" s="1"/>
      <c r="Y671" s="1"/>
      <c r="Z671" s="1"/>
      <c r="AA671" s="1"/>
    </row>
    <row r="672" spans="1:27" ht="12.7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72"/>
      <c r="W672" s="80"/>
      <c r="X672" s="1"/>
      <c r="Y672" s="1"/>
      <c r="Z672" s="1"/>
      <c r="AA672" s="1"/>
    </row>
    <row r="673" spans="1:27" ht="12.7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72"/>
      <c r="W673" s="80"/>
      <c r="X673" s="1"/>
      <c r="Y673" s="1"/>
      <c r="Z673" s="1"/>
      <c r="AA673" s="1"/>
    </row>
    <row r="674" spans="1:27" ht="12.7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72"/>
      <c r="W674" s="80"/>
      <c r="X674" s="1"/>
      <c r="Y674" s="1"/>
      <c r="Z674" s="1"/>
      <c r="AA674" s="1"/>
    </row>
    <row r="675" spans="1:27" ht="12.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72"/>
      <c r="W675" s="80"/>
      <c r="X675" s="1"/>
      <c r="Y675" s="1"/>
      <c r="Z675" s="1"/>
      <c r="AA675" s="1"/>
    </row>
    <row r="676" spans="1:27" ht="12.7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72"/>
      <c r="W676" s="80"/>
      <c r="X676" s="1"/>
      <c r="Y676" s="1"/>
      <c r="Z676" s="1"/>
      <c r="AA676" s="1"/>
    </row>
    <row r="677" spans="1:27" ht="12.7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72"/>
      <c r="W677" s="80"/>
      <c r="X677" s="1"/>
      <c r="Y677" s="1"/>
      <c r="Z677" s="1"/>
      <c r="AA677" s="1"/>
    </row>
    <row r="678" spans="1:27" ht="12.7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72"/>
      <c r="W678" s="80"/>
      <c r="X678" s="1"/>
      <c r="Y678" s="1"/>
      <c r="Z678" s="1"/>
      <c r="AA678" s="1"/>
    </row>
    <row r="679" spans="1:27" ht="12.7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72"/>
      <c r="W679" s="80"/>
      <c r="X679" s="1"/>
      <c r="Y679" s="1"/>
      <c r="Z679" s="1"/>
      <c r="AA679" s="1"/>
    </row>
    <row r="680" spans="1:27" ht="12.7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72"/>
      <c r="W680" s="80"/>
      <c r="X680" s="1"/>
      <c r="Y680" s="1"/>
      <c r="Z680" s="1"/>
      <c r="AA680" s="1"/>
    </row>
    <row r="681" spans="1:27" ht="12.7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72"/>
      <c r="W681" s="80"/>
      <c r="X681" s="1"/>
      <c r="Y681" s="1"/>
      <c r="Z681" s="1"/>
      <c r="AA681" s="1"/>
    </row>
    <row r="682" spans="1:27" ht="12.7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72"/>
      <c r="W682" s="80"/>
      <c r="X682" s="1"/>
      <c r="Y682" s="1"/>
      <c r="Z682" s="1"/>
      <c r="AA682" s="1"/>
    </row>
    <row r="683" spans="1:27" ht="12.7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72"/>
      <c r="W683" s="80"/>
      <c r="X683" s="1"/>
      <c r="Y683" s="1"/>
      <c r="Z683" s="1"/>
      <c r="AA683" s="1"/>
    </row>
    <row r="684" spans="1:27" ht="12.7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72"/>
      <c r="W684" s="80"/>
      <c r="X684" s="1"/>
      <c r="Y684" s="1"/>
      <c r="Z684" s="1"/>
      <c r="AA684" s="1"/>
    </row>
    <row r="685" spans="1:27" ht="12.7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72"/>
      <c r="W685" s="80"/>
      <c r="X685" s="1"/>
      <c r="Y685" s="1"/>
      <c r="Z685" s="1"/>
      <c r="AA685" s="1"/>
    </row>
    <row r="686" spans="1:27" ht="12.7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72"/>
      <c r="W686" s="80"/>
      <c r="X686" s="1"/>
      <c r="Y686" s="1"/>
      <c r="Z686" s="1"/>
      <c r="AA686" s="1"/>
    </row>
    <row r="687" spans="1:27" ht="12.7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72"/>
      <c r="W687" s="80"/>
      <c r="X687" s="1"/>
      <c r="Y687" s="1"/>
      <c r="Z687" s="1"/>
      <c r="AA687" s="1"/>
    </row>
    <row r="688" spans="1:27" ht="12.7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72"/>
      <c r="W688" s="80"/>
      <c r="X688" s="1"/>
      <c r="Y688" s="1"/>
      <c r="Z688" s="1"/>
      <c r="AA688" s="1"/>
    </row>
    <row r="689" spans="1:27" ht="12.7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72"/>
      <c r="W689" s="80"/>
      <c r="X689" s="1"/>
      <c r="Y689" s="1"/>
      <c r="Z689" s="1"/>
      <c r="AA689" s="1"/>
    </row>
    <row r="690" spans="1:27" ht="12.7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72"/>
      <c r="W690" s="80"/>
      <c r="X690" s="1"/>
      <c r="Y690" s="1"/>
      <c r="Z690" s="1"/>
      <c r="AA690" s="1"/>
    </row>
    <row r="691" spans="1:27" ht="12.7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72"/>
      <c r="W691" s="80"/>
      <c r="X691" s="1"/>
      <c r="Y691" s="1"/>
      <c r="Z691" s="1"/>
      <c r="AA691" s="1"/>
    </row>
    <row r="692" spans="1:27" ht="12.7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72"/>
      <c r="W692" s="80"/>
      <c r="X692" s="1"/>
      <c r="Y692" s="1"/>
      <c r="Z692" s="1"/>
      <c r="AA692" s="1"/>
    </row>
    <row r="693" spans="1:27" ht="12.7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72"/>
      <c r="W693" s="80"/>
      <c r="X693" s="1"/>
      <c r="Y693" s="1"/>
      <c r="Z693" s="1"/>
      <c r="AA693" s="1"/>
    </row>
    <row r="694" spans="1:27" ht="12.7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72"/>
      <c r="W694" s="80"/>
      <c r="X694" s="1"/>
      <c r="Y694" s="1"/>
      <c r="Z694" s="1"/>
      <c r="AA694" s="1"/>
    </row>
    <row r="695" spans="1:27" ht="12.7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72"/>
      <c r="W695" s="80"/>
      <c r="X695" s="1"/>
      <c r="Y695" s="1"/>
      <c r="Z695" s="1"/>
      <c r="AA695" s="1"/>
    </row>
    <row r="696" spans="1:27" ht="12.7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72"/>
      <c r="W696" s="80"/>
      <c r="X696" s="1"/>
      <c r="Y696" s="1"/>
      <c r="Z696" s="1"/>
      <c r="AA696" s="1"/>
    </row>
    <row r="697" spans="1:27" ht="12.7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72"/>
      <c r="W697" s="80"/>
      <c r="X697" s="1"/>
      <c r="Y697" s="1"/>
      <c r="Z697" s="1"/>
      <c r="AA697" s="1"/>
    </row>
    <row r="698" spans="1:27" ht="12.7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72"/>
      <c r="W698" s="80"/>
      <c r="X698" s="1"/>
      <c r="Y698" s="1"/>
      <c r="Z698" s="1"/>
      <c r="AA698" s="1"/>
    </row>
    <row r="699" spans="1:27" ht="12.7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72"/>
      <c r="W699" s="80"/>
      <c r="X699" s="1"/>
      <c r="Y699" s="1"/>
      <c r="Z699" s="1"/>
      <c r="AA699" s="1"/>
    </row>
    <row r="700" spans="1:27" ht="12.7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72"/>
      <c r="W700" s="80"/>
      <c r="X700" s="1"/>
      <c r="Y700" s="1"/>
      <c r="Z700" s="1"/>
      <c r="AA700" s="1"/>
    </row>
    <row r="701" spans="1:27" ht="12.7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72"/>
      <c r="W701" s="80"/>
      <c r="X701" s="1"/>
      <c r="Y701" s="1"/>
      <c r="Z701" s="1"/>
      <c r="AA701" s="1"/>
    </row>
    <row r="702" spans="1:27" ht="12.7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72"/>
      <c r="W702" s="80"/>
      <c r="X702" s="1"/>
      <c r="Y702" s="1"/>
      <c r="Z702" s="1"/>
      <c r="AA702" s="1"/>
    </row>
    <row r="703" spans="1:27" ht="12.7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72"/>
      <c r="W703" s="80"/>
      <c r="X703" s="1"/>
      <c r="Y703" s="1"/>
      <c r="Z703" s="1"/>
      <c r="AA703" s="1"/>
    </row>
    <row r="704" spans="1:27" ht="12.7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72"/>
      <c r="W704" s="80"/>
      <c r="X704" s="1"/>
      <c r="Y704" s="1"/>
      <c r="Z704" s="1"/>
      <c r="AA704" s="1"/>
    </row>
    <row r="705" spans="1:27" ht="12.7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72"/>
      <c r="W705" s="80"/>
      <c r="X705" s="1"/>
      <c r="Y705" s="1"/>
      <c r="Z705" s="1"/>
      <c r="AA705" s="1"/>
    </row>
    <row r="706" spans="1:27" ht="12.7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72"/>
      <c r="W706" s="80"/>
      <c r="X706" s="1"/>
      <c r="Y706" s="1"/>
      <c r="Z706" s="1"/>
      <c r="AA706" s="1"/>
    </row>
    <row r="707" spans="1:27" ht="12.7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72"/>
      <c r="W707" s="80"/>
      <c r="X707" s="1"/>
      <c r="Y707" s="1"/>
      <c r="Z707" s="1"/>
      <c r="AA707" s="1"/>
    </row>
    <row r="708" spans="1:27" ht="12.7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72"/>
      <c r="W708" s="80"/>
      <c r="X708" s="1"/>
      <c r="Y708" s="1"/>
      <c r="Z708" s="1"/>
      <c r="AA708" s="1"/>
    </row>
    <row r="709" spans="1:27" ht="12.7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72"/>
      <c r="W709" s="80"/>
      <c r="X709" s="1"/>
      <c r="Y709" s="1"/>
      <c r="Z709" s="1"/>
      <c r="AA709" s="1"/>
    </row>
    <row r="710" spans="1:27" ht="12.7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72"/>
      <c r="W710" s="80"/>
      <c r="X710" s="1"/>
      <c r="Y710" s="1"/>
      <c r="Z710" s="1"/>
      <c r="AA710" s="1"/>
    </row>
    <row r="711" spans="1:27" ht="12.7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72"/>
      <c r="W711" s="80"/>
      <c r="X711" s="1"/>
      <c r="Y711" s="1"/>
      <c r="Z711" s="1"/>
      <c r="AA711" s="1"/>
    </row>
    <row r="712" spans="1:27" ht="12.7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72"/>
      <c r="W712" s="80"/>
      <c r="X712" s="1"/>
      <c r="Y712" s="1"/>
      <c r="Z712" s="1"/>
      <c r="AA712" s="1"/>
    </row>
    <row r="713" spans="1:27" ht="12.7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72"/>
      <c r="W713" s="80"/>
      <c r="X713" s="1"/>
      <c r="Y713" s="1"/>
      <c r="Z713" s="1"/>
      <c r="AA713" s="1"/>
    </row>
    <row r="714" spans="1:27" ht="12.7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72"/>
      <c r="W714" s="80"/>
      <c r="X714" s="1"/>
      <c r="Y714" s="1"/>
      <c r="Z714" s="1"/>
      <c r="AA714" s="1"/>
    </row>
    <row r="715" spans="1:27" ht="12.7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72"/>
      <c r="W715" s="80"/>
      <c r="X715" s="1"/>
      <c r="Y715" s="1"/>
      <c r="Z715" s="1"/>
      <c r="AA715" s="1"/>
    </row>
    <row r="716" spans="1:27" ht="12.7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72"/>
      <c r="W716" s="80"/>
      <c r="X716" s="1"/>
      <c r="Y716" s="1"/>
      <c r="Z716" s="1"/>
      <c r="AA716" s="1"/>
    </row>
    <row r="717" spans="1:27" ht="12.7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72"/>
      <c r="W717" s="80"/>
      <c r="X717" s="1"/>
      <c r="Y717" s="1"/>
      <c r="Z717" s="1"/>
      <c r="AA717" s="1"/>
    </row>
    <row r="718" spans="1:27" ht="12.7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72"/>
      <c r="W718" s="80"/>
      <c r="X718" s="1"/>
      <c r="Y718" s="1"/>
      <c r="Z718" s="1"/>
      <c r="AA718" s="1"/>
    </row>
    <row r="719" spans="1:27" ht="12.7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72"/>
      <c r="W719" s="80"/>
      <c r="X719" s="1"/>
      <c r="Y719" s="1"/>
      <c r="Z719" s="1"/>
      <c r="AA719" s="1"/>
    </row>
    <row r="720" spans="1:27" ht="12.7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72"/>
      <c r="W720" s="80"/>
      <c r="X720" s="1"/>
      <c r="Y720" s="1"/>
      <c r="Z720" s="1"/>
      <c r="AA720" s="1"/>
    </row>
    <row r="721" spans="1:27" ht="12.7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72"/>
      <c r="W721" s="80"/>
      <c r="X721" s="1"/>
      <c r="Y721" s="1"/>
      <c r="Z721" s="1"/>
      <c r="AA721" s="1"/>
    </row>
    <row r="722" spans="1:27" ht="12.7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72"/>
      <c r="W722" s="80"/>
      <c r="X722" s="1"/>
      <c r="Y722" s="1"/>
      <c r="Z722" s="1"/>
      <c r="AA722" s="1"/>
    </row>
    <row r="723" spans="1:27" ht="12.7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72"/>
      <c r="W723" s="80"/>
      <c r="X723" s="1"/>
      <c r="Y723" s="1"/>
      <c r="Z723" s="1"/>
      <c r="AA723" s="1"/>
    </row>
    <row r="724" spans="1:27" ht="12.7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72"/>
      <c r="W724" s="80"/>
      <c r="X724" s="1"/>
      <c r="Y724" s="1"/>
      <c r="Z724" s="1"/>
      <c r="AA724" s="1"/>
    </row>
    <row r="725" spans="1:27" ht="12.7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72"/>
      <c r="W725" s="80"/>
      <c r="X725" s="1"/>
      <c r="Y725" s="1"/>
      <c r="Z725" s="1"/>
      <c r="AA725" s="1"/>
    </row>
    <row r="726" spans="1:27" ht="12.7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72"/>
      <c r="W726" s="80"/>
      <c r="X726" s="1"/>
      <c r="Y726" s="1"/>
      <c r="Z726" s="1"/>
      <c r="AA726" s="1"/>
    </row>
    <row r="727" spans="1:27" ht="12.7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72"/>
      <c r="W727" s="80"/>
      <c r="X727" s="1"/>
      <c r="Y727" s="1"/>
      <c r="Z727" s="1"/>
      <c r="AA727" s="1"/>
    </row>
    <row r="728" spans="1:27" ht="12.7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72"/>
      <c r="W728" s="80"/>
      <c r="X728" s="1"/>
      <c r="Y728" s="1"/>
      <c r="Z728" s="1"/>
      <c r="AA728" s="1"/>
    </row>
    <row r="729" spans="1:27" ht="12.7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72"/>
      <c r="W729" s="80"/>
      <c r="X729" s="1"/>
      <c r="Y729" s="1"/>
      <c r="Z729" s="1"/>
      <c r="AA729" s="1"/>
    </row>
    <row r="730" spans="1:27" ht="12.7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72"/>
      <c r="W730" s="80"/>
      <c r="X730" s="1"/>
      <c r="Y730" s="1"/>
      <c r="Z730" s="1"/>
      <c r="AA730" s="1"/>
    </row>
    <row r="731" spans="1:27" ht="12.7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72"/>
      <c r="W731" s="80"/>
      <c r="X731" s="1"/>
      <c r="Y731" s="1"/>
      <c r="Z731" s="1"/>
      <c r="AA731" s="1"/>
    </row>
    <row r="732" spans="1:27" ht="12.7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72"/>
      <c r="W732" s="80"/>
      <c r="X732" s="1"/>
      <c r="Y732" s="1"/>
      <c r="Z732" s="1"/>
      <c r="AA732" s="1"/>
    </row>
    <row r="733" spans="1:27" ht="12.7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72"/>
      <c r="W733" s="80"/>
      <c r="X733" s="1"/>
      <c r="Y733" s="1"/>
      <c r="Z733" s="1"/>
      <c r="AA733" s="1"/>
    </row>
    <row r="734" spans="1:27" ht="12.7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72"/>
      <c r="W734" s="80"/>
      <c r="X734" s="1"/>
      <c r="Y734" s="1"/>
      <c r="Z734" s="1"/>
      <c r="AA734" s="1"/>
    </row>
    <row r="735" spans="1:27" ht="12.7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72"/>
      <c r="W735" s="80"/>
      <c r="X735" s="1"/>
      <c r="Y735" s="1"/>
      <c r="Z735" s="1"/>
      <c r="AA735" s="1"/>
    </row>
    <row r="736" spans="1:27" ht="12.7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72"/>
      <c r="W736" s="80"/>
      <c r="X736" s="1"/>
      <c r="Y736" s="1"/>
      <c r="Z736" s="1"/>
      <c r="AA736" s="1"/>
    </row>
    <row r="737" spans="1:27" ht="12.7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72"/>
      <c r="W737" s="80"/>
      <c r="X737" s="1"/>
      <c r="Y737" s="1"/>
      <c r="Z737" s="1"/>
      <c r="AA737" s="1"/>
    </row>
    <row r="738" spans="1:27" ht="12.7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72"/>
      <c r="W738" s="80"/>
      <c r="X738" s="1"/>
      <c r="Y738" s="1"/>
      <c r="Z738" s="1"/>
      <c r="AA738" s="1"/>
    </row>
    <row r="739" spans="1:27" ht="12.7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72"/>
      <c r="W739" s="80"/>
      <c r="X739" s="1"/>
      <c r="Y739" s="1"/>
      <c r="Z739" s="1"/>
      <c r="AA739" s="1"/>
    </row>
    <row r="740" spans="1:27" ht="12.7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72"/>
      <c r="W740" s="80"/>
      <c r="X740" s="1"/>
      <c r="Y740" s="1"/>
      <c r="Z740" s="1"/>
      <c r="AA740" s="1"/>
    </row>
    <row r="741" spans="1:27" ht="12.7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72"/>
      <c r="W741" s="80"/>
      <c r="X741" s="1"/>
      <c r="Y741" s="1"/>
      <c r="Z741" s="1"/>
      <c r="AA741" s="1"/>
    </row>
    <row r="742" spans="1:27" ht="12.7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72"/>
      <c r="W742" s="80"/>
      <c r="X742" s="1"/>
      <c r="Y742" s="1"/>
      <c r="Z742" s="1"/>
      <c r="AA742" s="1"/>
    </row>
    <row r="743" spans="1:27" ht="12.7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72"/>
      <c r="W743" s="80"/>
      <c r="X743" s="1"/>
      <c r="Y743" s="1"/>
      <c r="Z743" s="1"/>
      <c r="AA743" s="1"/>
    </row>
    <row r="744" spans="1:27" ht="12.7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72"/>
      <c r="W744" s="80"/>
      <c r="X744" s="1"/>
      <c r="Y744" s="1"/>
      <c r="Z744" s="1"/>
      <c r="AA744" s="1"/>
    </row>
    <row r="745" spans="1:27" ht="12.7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72"/>
      <c r="W745" s="80"/>
      <c r="X745" s="1"/>
      <c r="Y745" s="1"/>
      <c r="Z745" s="1"/>
      <c r="AA745" s="1"/>
    </row>
    <row r="746" spans="1:27" ht="12.7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72"/>
      <c r="W746" s="80"/>
      <c r="X746" s="1"/>
      <c r="Y746" s="1"/>
      <c r="Z746" s="1"/>
      <c r="AA746" s="1"/>
    </row>
    <row r="747" spans="1:27" ht="12.7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72"/>
      <c r="W747" s="80"/>
      <c r="X747" s="1"/>
      <c r="Y747" s="1"/>
      <c r="Z747" s="1"/>
      <c r="AA747" s="1"/>
    </row>
    <row r="748" spans="1:27" ht="12.7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72"/>
      <c r="W748" s="80"/>
      <c r="X748" s="1"/>
      <c r="Y748" s="1"/>
      <c r="Z748" s="1"/>
      <c r="AA748" s="1"/>
    </row>
    <row r="749" spans="1:27" ht="12.7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72"/>
      <c r="W749" s="80"/>
      <c r="X749" s="1"/>
      <c r="Y749" s="1"/>
      <c r="Z749" s="1"/>
      <c r="AA749" s="1"/>
    </row>
    <row r="750" spans="1:27" ht="12.7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72"/>
      <c r="W750" s="80"/>
      <c r="X750" s="1"/>
      <c r="Y750" s="1"/>
      <c r="Z750" s="1"/>
      <c r="AA750" s="1"/>
    </row>
    <row r="751" spans="1:27" ht="12.7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72"/>
      <c r="W751" s="80"/>
      <c r="X751" s="1"/>
      <c r="Y751" s="1"/>
      <c r="Z751" s="1"/>
      <c r="AA751" s="1"/>
    </row>
    <row r="752" spans="1:27" ht="12.7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72"/>
      <c r="W752" s="80"/>
      <c r="X752" s="1"/>
      <c r="Y752" s="1"/>
      <c r="Z752" s="1"/>
      <c r="AA752" s="1"/>
    </row>
    <row r="753" spans="1:27" ht="12.7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72"/>
      <c r="W753" s="80"/>
      <c r="X753" s="1"/>
      <c r="Y753" s="1"/>
      <c r="Z753" s="1"/>
      <c r="AA753" s="1"/>
    </row>
    <row r="754" spans="1:27" ht="12.7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72"/>
      <c r="W754" s="80"/>
      <c r="X754" s="1"/>
      <c r="Y754" s="1"/>
      <c r="Z754" s="1"/>
      <c r="AA754" s="1"/>
    </row>
    <row r="755" spans="1:27" ht="12.7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72"/>
      <c r="W755" s="80"/>
      <c r="X755" s="1"/>
      <c r="Y755" s="1"/>
      <c r="Z755" s="1"/>
      <c r="AA755" s="1"/>
    </row>
    <row r="756" spans="1:27" ht="12.7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72"/>
      <c r="W756" s="80"/>
      <c r="X756" s="1"/>
      <c r="Y756" s="1"/>
      <c r="Z756" s="1"/>
      <c r="AA756" s="1"/>
    </row>
    <row r="757" spans="1:27" ht="12.7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72"/>
      <c r="W757" s="80"/>
      <c r="X757" s="1"/>
      <c r="Y757" s="1"/>
      <c r="Z757" s="1"/>
      <c r="AA757" s="1"/>
    </row>
    <row r="758" spans="1:27" ht="12.7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72"/>
      <c r="W758" s="80"/>
      <c r="X758" s="1"/>
      <c r="Y758" s="1"/>
      <c r="Z758" s="1"/>
      <c r="AA758" s="1"/>
    </row>
    <row r="759" spans="1:27" ht="12.7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72"/>
      <c r="W759" s="80"/>
      <c r="X759" s="1"/>
      <c r="Y759" s="1"/>
      <c r="Z759" s="1"/>
      <c r="AA759" s="1"/>
    </row>
    <row r="760" spans="1:27" ht="12.7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72"/>
      <c r="W760" s="80"/>
      <c r="X760" s="1"/>
      <c r="Y760" s="1"/>
      <c r="Z760" s="1"/>
      <c r="AA760" s="1"/>
    </row>
    <row r="761" spans="1:27" ht="12.7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72"/>
      <c r="W761" s="80"/>
      <c r="X761" s="1"/>
      <c r="Y761" s="1"/>
      <c r="Z761" s="1"/>
      <c r="AA761" s="1"/>
    </row>
    <row r="762" spans="1:27" ht="12.7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72"/>
      <c r="W762" s="80"/>
      <c r="X762" s="1"/>
      <c r="Y762" s="1"/>
      <c r="Z762" s="1"/>
      <c r="AA762" s="1"/>
    </row>
    <row r="763" spans="1:27" ht="12.7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72"/>
      <c r="W763" s="80"/>
      <c r="X763" s="1"/>
      <c r="Y763" s="1"/>
      <c r="Z763" s="1"/>
      <c r="AA763" s="1"/>
    </row>
    <row r="764" spans="1:27" ht="12.7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72"/>
      <c r="W764" s="80"/>
      <c r="X764" s="1"/>
      <c r="Y764" s="1"/>
      <c r="Z764" s="1"/>
      <c r="AA764" s="1"/>
    </row>
    <row r="765" spans="1:27" ht="12.7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72"/>
      <c r="W765" s="80"/>
      <c r="X765" s="1"/>
      <c r="Y765" s="1"/>
      <c r="Z765" s="1"/>
      <c r="AA765" s="1"/>
    </row>
    <row r="766" spans="1:27" ht="12.7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72"/>
      <c r="W766" s="80"/>
      <c r="X766" s="1"/>
      <c r="Y766" s="1"/>
      <c r="Z766" s="1"/>
      <c r="AA766" s="1"/>
    </row>
    <row r="767" spans="1:27" ht="12.7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72"/>
      <c r="W767" s="80"/>
      <c r="X767" s="1"/>
      <c r="Y767" s="1"/>
      <c r="Z767" s="1"/>
      <c r="AA767" s="1"/>
    </row>
    <row r="768" spans="1:27" ht="12.7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72"/>
      <c r="W768" s="80"/>
      <c r="X768" s="1"/>
      <c r="Y768" s="1"/>
      <c r="Z768" s="1"/>
      <c r="AA768" s="1"/>
    </row>
    <row r="769" spans="1:27" ht="12.7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72"/>
      <c r="W769" s="80"/>
      <c r="X769" s="1"/>
      <c r="Y769" s="1"/>
      <c r="Z769" s="1"/>
      <c r="AA769" s="1"/>
    </row>
    <row r="770" spans="1:27" ht="12.7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72"/>
      <c r="W770" s="80"/>
      <c r="X770" s="1"/>
      <c r="Y770" s="1"/>
      <c r="Z770" s="1"/>
      <c r="AA770" s="1"/>
    </row>
    <row r="771" spans="1:27" ht="12.7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72"/>
      <c r="W771" s="80"/>
      <c r="X771" s="1"/>
      <c r="Y771" s="1"/>
      <c r="Z771" s="1"/>
      <c r="AA771" s="1"/>
    </row>
    <row r="772" spans="1:27" ht="12.7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72"/>
      <c r="W772" s="80"/>
      <c r="X772" s="1"/>
      <c r="Y772" s="1"/>
      <c r="Z772" s="1"/>
      <c r="AA772" s="1"/>
    </row>
    <row r="773" spans="1:27" ht="12.7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72"/>
      <c r="W773" s="80"/>
      <c r="X773" s="1"/>
      <c r="Y773" s="1"/>
      <c r="Z773" s="1"/>
      <c r="AA773" s="1"/>
    </row>
    <row r="774" spans="1:27" ht="12.7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72"/>
      <c r="W774" s="80"/>
      <c r="X774" s="1"/>
      <c r="Y774" s="1"/>
      <c r="Z774" s="1"/>
      <c r="AA774" s="1"/>
    </row>
    <row r="775" spans="1:27" ht="12.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72"/>
      <c r="W775" s="80"/>
      <c r="X775" s="1"/>
      <c r="Y775" s="1"/>
      <c r="Z775" s="1"/>
      <c r="AA775" s="1"/>
    </row>
    <row r="776" spans="1:27" ht="12.7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72"/>
      <c r="W776" s="80"/>
      <c r="X776" s="1"/>
      <c r="Y776" s="1"/>
      <c r="Z776" s="1"/>
      <c r="AA776" s="1"/>
    </row>
    <row r="777" spans="1:27" ht="12.7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72"/>
      <c r="W777" s="80"/>
      <c r="X777" s="1"/>
      <c r="Y777" s="1"/>
      <c r="Z777" s="1"/>
      <c r="AA777" s="1"/>
    </row>
    <row r="778" spans="1:27" ht="12.7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72"/>
      <c r="W778" s="80"/>
      <c r="X778" s="1"/>
      <c r="Y778" s="1"/>
      <c r="Z778" s="1"/>
      <c r="AA778" s="1"/>
    </row>
    <row r="779" spans="1:27" ht="12.7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72"/>
      <c r="W779" s="80"/>
      <c r="X779" s="1"/>
      <c r="Y779" s="1"/>
      <c r="Z779" s="1"/>
      <c r="AA779" s="1"/>
    </row>
    <row r="780" spans="1:27" ht="12.7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72"/>
      <c r="W780" s="80"/>
      <c r="X780" s="1"/>
      <c r="Y780" s="1"/>
      <c r="Z780" s="1"/>
      <c r="AA780" s="1"/>
    </row>
    <row r="781" spans="1:27" ht="12.7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72"/>
      <c r="W781" s="80"/>
      <c r="X781" s="1"/>
      <c r="Y781" s="1"/>
      <c r="Z781" s="1"/>
      <c r="AA781" s="1"/>
    </row>
    <row r="782" spans="1:27" ht="12.7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72"/>
      <c r="W782" s="80"/>
      <c r="X782" s="1"/>
      <c r="Y782" s="1"/>
      <c r="Z782" s="1"/>
      <c r="AA782" s="1"/>
    </row>
    <row r="783" spans="1:27" ht="12.75"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72"/>
      <c r="W783" s="80"/>
      <c r="X783" s="1"/>
      <c r="Y783" s="1"/>
      <c r="Z783" s="1"/>
      <c r="AA783" s="1"/>
    </row>
    <row r="784" spans="1:27" ht="12.75"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72"/>
      <c r="W784" s="80"/>
      <c r="X784" s="1"/>
      <c r="Y784" s="1"/>
      <c r="Z784" s="1"/>
      <c r="AA784" s="1"/>
    </row>
    <row r="785" spans="2:27" ht="12.75"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72"/>
      <c r="W785" s="80"/>
      <c r="X785" s="1"/>
      <c r="Y785" s="1"/>
      <c r="Z785" s="1"/>
      <c r="AA785" s="1"/>
    </row>
    <row r="786" spans="2:27" ht="12.75"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72"/>
      <c r="W786" s="80"/>
      <c r="X786" s="1"/>
      <c r="Y786" s="1"/>
      <c r="Z786" s="1"/>
      <c r="AA786" s="1"/>
    </row>
    <row r="787" spans="2:27" ht="12.75"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72"/>
      <c r="W787" s="80"/>
      <c r="X787" s="1"/>
      <c r="Y787" s="1"/>
      <c r="Z787" s="1"/>
      <c r="AA787" s="1"/>
    </row>
    <row r="788" spans="2:27" ht="12.75"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72"/>
      <c r="W788" s="80"/>
      <c r="X788" s="1"/>
      <c r="Y788" s="1"/>
      <c r="Z788" s="1"/>
      <c r="AA788" s="1"/>
    </row>
    <row r="789" spans="2:27" ht="12.75"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72"/>
      <c r="W789" s="80"/>
      <c r="X789" s="1"/>
      <c r="Y789" s="1"/>
      <c r="Z789" s="1"/>
      <c r="AA789" s="1"/>
    </row>
    <row r="790" spans="2:27" ht="12.75"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72"/>
      <c r="W790" s="80"/>
      <c r="X790" s="1"/>
      <c r="Y790" s="1"/>
      <c r="Z790" s="1"/>
      <c r="AA790" s="1"/>
    </row>
    <row r="791" spans="2:27" ht="12.75"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72"/>
      <c r="W791" s="80"/>
      <c r="X791" s="1"/>
      <c r="Y791" s="1"/>
      <c r="Z791" s="1"/>
      <c r="AA791" s="1"/>
    </row>
    <row r="792" spans="2:27" ht="12.75"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72"/>
      <c r="W792" s="80"/>
      <c r="X792" s="1"/>
      <c r="Y792" s="1"/>
      <c r="Z792" s="1"/>
      <c r="AA792" s="1"/>
    </row>
    <row r="793" spans="2:27" ht="12.75"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72"/>
      <c r="W793" s="80"/>
      <c r="X793" s="1"/>
      <c r="Y793" s="1"/>
      <c r="Z793" s="1"/>
      <c r="AA793" s="1"/>
    </row>
    <row r="794" spans="2:27" ht="12.75"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72"/>
      <c r="W794" s="80"/>
      <c r="X794" s="1"/>
      <c r="Y794" s="1"/>
      <c r="Z794" s="1"/>
      <c r="AA794" s="1"/>
    </row>
    <row r="795" spans="2:27" ht="12.75"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72"/>
      <c r="W795" s="80"/>
      <c r="X795" s="1"/>
      <c r="Y795" s="1"/>
      <c r="Z795" s="1"/>
      <c r="AA795" s="1"/>
    </row>
    <row r="796" spans="2:27" ht="12.75"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72"/>
      <c r="W796" s="80"/>
      <c r="X796" s="1"/>
      <c r="Y796" s="1"/>
      <c r="Z796" s="1"/>
      <c r="AA796" s="1"/>
    </row>
    <row r="797" spans="2:27" ht="12.75"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72"/>
      <c r="W797" s="80"/>
      <c r="X797" s="1"/>
      <c r="Y797" s="1"/>
      <c r="Z797" s="1"/>
      <c r="AA797" s="1"/>
    </row>
    <row r="798" spans="2:27" ht="12.75"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72"/>
      <c r="W798" s="80"/>
      <c r="X798" s="1"/>
      <c r="Y798" s="1"/>
      <c r="Z798" s="1"/>
      <c r="AA798" s="1"/>
    </row>
    <row r="799" spans="2:27" ht="12.75"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72"/>
      <c r="W799" s="80"/>
      <c r="X799" s="1"/>
      <c r="Y799" s="1"/>
      <c r="Z799" s="1"/>
      <c r="AA799" s="1"/>
    </row>
    <row r="800" spans="2:27" ht="12.75"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72"/>
      <c r="W800" s="80"/>
      <c r="X800" s="1"/>
      <c r="Y800" s="1"/>
      <c r="Z800" s="1"/>
      <c r="AA800" s="1"/>
    </row>
    <row r="801" spans="2:27" ht="12.75"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72"/>
      <c r="W801" s="80"/>
      <c r="X801" s="1"/>
      <c r="Y801" s="1"/>
      <c r="Z801" s="1"/>
      <c r="AA801" s="1"/>
    </row>
    <row r="802" spans="2:27" ht="12.75"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72"/>
      <c r="W802" s="80"/>
      <c r="X802" s="1"/>
      <c r="Y802" s="1"/>
      <c r="Z802" s="1"/>
      <c r="AA802" s="1"/>
    </row>
    <row r="803" spans="2:27" ht="12.75"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72"/>
      <c r="W803" s="80"/>
      <c r="X803" s="1"/>
      <c r="Y803" s="1"/>
      <c r="Z803" s="1"/>
      <c r="AA803" s="1"/>
    </row>
    <row r="804" spans="2:27" ht="12.75"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72"/>
      <c r="W804" s="80"/>
      <c r="X804" s="1"/>
      <c r="Y804" s="1"/>
      <c r="Z804" s="1"/>
      <c r="AA804" s="1"/>
    </row>
    <row r="805" spans="2:27" ht="12.75"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72"/>
      <c r="W805" s="80"/>
      <c r="X805" s="1"/>
      <c r="Y805" s="1"/>
      <c r="Z805" s="1"/>
      <c r="AA805" s="1"/>
    </row>
    <row r="806" spans="2:27" ht="12.75"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72"/>
      <c r="W806" s="80"/>
      <c r="X806" s="1"/>
      <c r="Y806" s="1"/>
      <c r="Z806" s="1"/>
      <c r="AA806" s="1"/>
    </row>
    <row r="807" spans="2:27" ht="12.75"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72"/>
      <c r="W807" s="80"/>
      <c r="X807" s="1"/>
      <c r="Y807" s="1"/>
      <c r="Z807" s="1"/>
      <c r="AA807" s="1"/>
    </row>
    <row r="808" spans="2:27" ht="12.75"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72"/>
      <c r="W808" s="80"/>
      <c r="X808" s="1"/>
      <c r="Y808" s="1"/>
      <c r="Z808" s="1"/>
      <c r="AA808" s="1"/>
    </row>
    <row r="809" spans="2:27" ht="12.75"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72"/>
      <c r="W809" s="80"/>
      <c r="X809" s="1"/>
      <c r="Y809" s="1"/>
      <c r="Z809" s="1"/>
      <c r="AA809" s="1"/>
    </row>
    <row r="810" spans="2:27" ht="12.75"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72"/>
      <c r="W810" s="80"/>
      <c r="X810" s="1"/>
      <c r="Y810" s="1"/>
      <c r="Z810" s="1"/>
      <c r="AA810" s="1"/>
    </row>
    <row r="811" spans="2:27" ht="12.75"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72"/>
      <c r="W811" s="80"/>
      <c r="X811" s="1"/>
      <c r="Y811" s="1"/>
      <c r="Z811" s="1"/>
      <c r="AA811" s="1"/>
    </row>
    <row r="812" spans="2:27" ht="12.75"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72"/>
      <c r="W812" s="80"/>
      <c r="X812" s="1"/>
      <c r="Y812" s="1"/>
      <c r="Z812" s="1"/>
      <c r="AA812" s="1"/>
    </row>
    <row r="813" spans="2:27" ht="12.75"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72"/>
      <c r="W813" s="80"/>
      <c r="X813" s="1"/>
      <c r="Y813" s="1"/>
      <c r="Z813" s="1"/>
      <c r="AA813" s="1"/>
    </row>
    <row r="814" spans="2:27" ht="12.75"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72"/>
      <c r="W814" s="80"/>
      <c r="X814" s="1"/>
      <c r="Y814" s="1"/>
      <c r="Z814" s="1"/>
      <c r="AA814" s="1"/>
    </row>
    <row r="815" spans="2:27" ht="12.75"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72"/>
      <c r="W815" s="80"/>
      <c r="X815" s="1"/>
      <c r="Y815" s="1"/>
      <c r="Z815" s="1"/>
      <c r="AA815" s="1"/>
    </row>
    <row r="816" spans="2:27" ht="12.75"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72"/>
      <c r="W816" s="80"/>
      <c r="X816" s="1"/>
      <c r="Y816" s="1"/>
      <c r="Z816" s="1"/>
      <c r="AA816" s="1"/>
    </row>
    <row r="817" spans="2:27" ht="12.75"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72"/>
      <c r="W817" s="80"/>
      <c r="X817" s="1"/>
      <c r="Y817" s="1"/>
      <c r="Z817" s="1"/>
      <c r="AA817" s="1"/>
    </row>
    <row r="818" spans="2:27" ht="12.75"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72"/>
      <c r="W818" s="80"/>
      <c r="X818" s="1"/>
      <c r="Y818" s="1"/>
      <c r="Z818" s="1"/>
      <c r="AA818" s="1"/>
    </row>
    <row r="819" spans="2:27" ht="12.75"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72"/>
      <c r="W819" s="80"/>
      <c r="X819" s="1"/>
      <c r="Y819" s="1"/>
      <c r="Z819" s="1"/>
      <c r="AA819" s="1"/>
    </row>
    <row r="820" spans="2:27" ht="12.75"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72"/>
      <c r="W820" s="80"/>
      <c r="X820" s="1"/>
      <c r="Y820" s="1"/>
      <c r="Z820" s="1"/>
      <c r="AA820" s="1"/>
    </row>
    <row r="821" spans="2:27" ht="12.75"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72"/>
      <c r="W821" s="80"/>
      <c r="X821" s="1"/>
      <c r="Y821" s="1"/>
      <c r="Z821" s="1"/>
      <c r="AA821" s="1"/>
    </row>
    <row r="822" spans="2:27" ht="12.75"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72"/>
      <c r="W822" s="80"/>
      <c r="X822" s="1"/>
      <c r="Y822" s="1"/>
      <c r="Z822" s="1"/>
      <c r="AA822" s="1"/>
    </row>
    <row r="823" spans="2:27" ht="12.75"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72"/>
      <c r="W823" s="80"/>
      <c r="X823" s="1"/>
      <c r="Y823" s="1"/>
      <c r="Z823" s="1"/>
      <c r="AA823" s="1"/>
    </row>
    <row r="824" spans="2:27" ht="12.75"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72"/>
      <c r="W824" s="80"/>
      <c r="X824" s="1"/>
      <c r="Y824" s="1"/>
      <c r="Z824" s="1"/>
      <c r="AA824" s="1"/>
    </row>
    <row r="825" spans="2:27" ht="12.75"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72"/>
      <c r="W825" s="80"/>
      <c r="X825" s="1"/>
      <c r="Y825" s="1"/>
      <c r="Z825" s="1"/>
      <c r="AA825" s="1"/>
    </row>
    <row r="826" spans="2:27" ht="12.75"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72"/>
      <c r="W826" s="80"/>
      <c r="X826" s="1"/>
      <c r="Y826" s="1"/>
      <c r="Z826" s="1"/>
      <c r="AA826" s="1"/>
    </row>
    <row r="827" spans="2:27" ht="12.75"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72"/>
      <c r="W827" s="80"/>
      <c r="X827" s="1"/>
      <c r="Y827" s="1"/>
      <c r="Z827" s="1"/>
      <c r="AA827" s="1"/>
    </row>
    <row r="828" spans="2:27" ht="12.75"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72"/>
      <c r="W828" s="80"/>
      <c r="X828" s="1"/>
      <c r="Y828" s="1"/>
      <c r="Z828" s="1"/>
      <c r="AA828" s="1"/>
    </row>
    <row r="829" spans="2:27" ht="12.75"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72"/>
      <c r="W829" s="80"/>
      <c r="X829" s="1"/>
      <c r="Y829" s="1"/>
      <c r="Z829" s="1"/>
      <c r="AA829" s="1"/>
    </row>
    <row r="830" spans="2:27" ht="12.75"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72"/>
      <c r="W830" s="80"/>
      <c r="X830" s="1"/>
      <c r="Y830" s="1"/>
      <c r="Z830" s="1"/>
      <c r="AA830" s="1"/>
    </row>
    <row r="831" spans="2:27" ht="12.75"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72"/>
      <c r="W831" s="80"/>
      <c r="X831" s="1"/>
      <c r="Y831" s="1"/>
      <c r="Z831" s="1"/>
      <c r="AA831" s="1"/>
    </row>
    <row r="832" spans="2:27" ht="12.75"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72"/>
      <c r="W832" s="80"/>
      <c r="X832" s="1"/>
      <c r="Y832" s="1"/>
      <c r="Z832" s="1"/>
      <c r="AA832" s="1"/>
    </row>
    <row r="833" spans="2:27" ht="12.75"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72"/>
      <c r="W833" s="80"/>
      <c r="X833" s="1"/>
      <c r="Y833" s="1"/>
      <c r="Z833" s="1"/>
      <c r="AA833" s="1"/>
    </row>
    <row r="834" spans="2:27" ht="12.75"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72"/>
      <c r="W834" s="80"/>
      <c r="X834" s="1"/>
      <c r="Y834" s="1"/>
      <c r="Z834" s="1"/>
      <c r="AA834" s="1"/>
    </row>
    <row r="835" spans="2:27" ht="12.75"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72"/>
      <c r="W835" s="80"/>
      <c r="X835" s="1"/>
      <c r="Y835" s="1"/>
      <c r="Z835" s="1"/>
      <c r="AA835" s="1"/>
    </row>
    <row r="836" spans="2:27" ht="12.75"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72"/>
      <c r="W836" s="80"/>
      <c r="X836" s="1"/>
      <c r="Y836" s="1"/>
      <c r="Z836" s="1"/>
      <c r="AA836" s="1"/>
    </row>
    <row r="837" spans="2:27" ht="12.75"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72"/>
      <c r="W837" s="80"/>
      <c r="X837" s="1"/>
      <c r="Y837" s="1"/>
      <c r="Z837" s="1"/>
      <c r="AA837" s="1"/>
    </row>
    <row r="838" spans="2:27" ht="12.75"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72"/>
      <c r="W838" s="80"/>
      <c r="X838" s="1"/>
      <c r="Y838" s="1"/>
      <c r="Z838" s="1"/>
      <c r="AA838" s="1"/>
    </row>
    <row r="839" spans="2:27" ht="12.75"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72"/>
      <c r="W839" s="80"/>
      <c r="X839" s="1"/>
      <c r="Y839" s="1"/>
      <c r="Z839" s="1"/>
      <c r="AA839" s="1"/>
    </row>
    <row r="840" spans="2:27" ht="12.75"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72"/>
      <c r="W840" s="80"/>
      <c r="X840" s="1"/>
      <c r="Y840" s="1"/>
      <c r="Z840" s="1"/>
      <c r="AA840" s="1"/>
    </row>
    <row r="841" spans="2:27" ht="12.75"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72"/>
      <c r="W841" s="80"/>
      <c r="X841" s="1"/>
      <c r="Y841" s="1"/>
      <c r="Z841" s="1"/>
      <c r="AA841" s="1"/>
    </row>
    <row r="842" spans="2:27" ht="12.75"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72"/>
      <c r="W842" s="80"/>
      <c r="X842" s="1"/>
      <c r="Y842" s="1"/>
      <c r="Z842" s="1"/>
      <c r="AA842" s="1"/>
    </row>
    <row r="843" spans="2:27" ht="12.75"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72"/>
      <c r="W843" s="80"/>
      <c r="X843" s="1"/>
      <c r="Y843" s="1"/>
      <c r="Z843" s="1"/>
      <c r="AA843" s="1"/>
    </row>
    <row r="844" spans="2:27" ht="12.75"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72"/>
      <c r="W844" s="80"/>
      <c r="X844" s="1"/>
      <c r="Y844" s="1"/>
      <c r="Z844" s="1"/>
      <c r="AA844" s="1"/>
    </row>
    <row r="845" spans="2:27" ht="12.75"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72"/>
      <c r="W845" s="80"/>
      <c r="X845" s="1"/>
      <c r="Y845" s="1"/>
      <c r="Z845" s="1"/>
      <c r="AA845" s="1"/>
    </row>
    <row r="846" spans="2:27" ht="12.75"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72"/>
      <c r="W846" s="80"/>
      <c r="X846" s="1"/>
      <c r="Y846" s="1"/>
      <c r="Z846" s="1"/>
      <c r="AA846" s="1"/>
    </row>
    <row r="847" spans="2:27" ht="12.75"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72"/>
      <c r="W847" s="80"/>
      <c r="X847" s="1"/>
      <c r="Y847" s="1"/>
      <c r="Z847" s="1"/>
      <c r="AA847" s="1"/>
    </row>
    <row r="848" spans="2:27" ht="12.75"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72"/>
      <c r="W848" s="80"/>
      <c r="X848" s="1"/>
      <c r="Y848" s="1"/>
      <c r="Z848" s="1"/>
      <c r="AA848" s="1"/>
    </row>
    <row r="849" spans="2:27" ht="12.75"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72"/>
      <c r="W849" s="80"/>
      <c r="X849" s="1"/>
      <c r="Y849" s="1"/>
      <c r="Z849" s="1"/>
      <c r="AA849" s="1"/>
    </row>
    <row r="850" spans="2:27" ht="12.75"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72"/>
      <c r="W850" s="80"/>
      <c r="X850" s="1"/>
      <c r="Y850" s="1"/>
      <c r="Z850" s="1"/>
      <c r="AA850" s="1"/>
    </row>
    <row r="851" spans="2:27" ht="12.75"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72"/>
      <c r="W851" s="80"/>
      <c r="X851" s="1"/>
      <c r="Y851" s="1"/>
      <c r="Z851" s="1"/>
      <c r="AA851" s="1"/>
    </row>
    <row r="852" spans="2:27" ht="12.75"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72"/>
      <c r="W852" s="80"/>
      <c r="X852" s="1"/>
      <c r="Y852" s="1"/>
      <c r="Z852" s="1"/>
      <c r="AA852" s="1"/>
    </row>
    <row r="853" spans="2:27" ht="12.75"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72"/>
      <c r="W853" s="80"/>
      <c r="X853" s="1"/>
      <c r="Y853" s="1"/>
      <c r="Z853" s="1"/>
      <c r="AA853" s="1"/>
    </row>
    <row r="854" spans="2:27" ht="12.75"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72"/>
      <c r="W854" s="80"/>
      <c r="X854" s="1"/>
      <c r="Y854" s="1"/>
      <c r="Z854" s="1"/>
      <c r="AA854" s="1"/>
    </row>
    <row r="855" spans="2:27" ht="12.75"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72"/>
      <c r="W855" s="80"/>
      <c r="X855" s="1"/>
      <c r="Y855" s="1"/>
      <c r="Z855" s="1"/>
      <c r="AA855" s="1"/>
    </row>
    <row r="856" spans="2:27" ht="12.75"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72"/>
      <c r="W856" s="80"/>
      <c r="X856" s="1"/>
      <c r="Y856" s="1"/>
      <c r="Z856" s="1"/>
      <c r="AA856" s="1"/>
    </row>
    <row r="857" spans="2:27" ht="12.75"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72"/>
      <c r="W857" s="80"/>
      <c r="X857" s="1"/>
      <c r="Y857" s="1"/>
      <c r="Z857" s="1"/>
      <c r="AA857" s="1"/>
    </row>
    <row r="858" spans="2:27" ht="12.75"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72"/>
      <c r="W858" s="80"/>
      <c r="X858" s="1"/>
      <c r="Y858" s="1"/>
      <c r="Z858" s="1"/>
      <c r="AA858" s="1"/>
    </row>
    <row r="859" spans="2:27" ht="12.75"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72"/>
      <c r="W859" s="80"/>
      <c r="X859" s="1"/>
      <c r="Y859" s="1"/>
      <c r="Z859" s="1"/>
      <c r="AA859" s="1"/>
    </row>
    <row r="860" spans="2:27" ht="12.75"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72"/>
      <c r="W860" s="80"/>
      <c r="X860" s="1"/>
      <c r="Y860" s="1"/>
      <c r="Z860" s="1"/>
      <c r="AA860" s="1"/>
    </row>
    <row r="861" spans="2:27" ht="12.75"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72"/>
      <c r="W861" s="80"/>
      <c r="X861" s="1"/>
      <c r="Y861" s="1"/>
      <c r="Z861" s="1"/>
      <c r="AA861" s="1"/>
    </row>
    <row r="862" spans="2:27" ht="12.75"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72"/>
      <c r="W862" s="80"/>
      <c r="X862" s="1"/>
      <c r="Y862" s="1"/>
      <c r="Z862" s="1"/>
      <c r="AA862" s="1"/>
    </row>
    <row r="863" spans="2:27" ht="12.75"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72"/>
      <c r="W863" s="80"/>
      <c r="X863" s="1"/>
      <c r="Y863" s="1"/>
      <c r="Z863" s="1"/>
      <c r="AA863" s="1"/>
    </row>
    <row r="864" spans="2:27" ht="12.75"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72"/>
      <c r="W864" s="80"/>
      <c r="X864" s="1"/>
      <c r="Y864" s="1"/>
      <c r="Z864" s="1"/>
      <c r="AA864" s="1"/>
    </row>
    <row r="865" spans="2:27" ht="12.75"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72"/>
      <c r="W865" s="80"/>
      <c r="X865" s="1"/>
      <c r="Y865" s="1"/>
      <c r="Z865" s="1"/>
      <c r="AA865" s="1"/>
    </row>
    <row r="866" spans="2:27" ht="12.75"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72"/>
      <c r="W866" s="80"/>
      <c r="X866" s="1"/>
      <c r="Y866" s="1"/>
      <c r="Z866" s="1"/>
      <c r="AA866" s="1"/>
    </row>
    <row r="867" spans="2:27" ht="12.75"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72"/>
      <c r="W867" s="80"/>
      <c r="X867" s="1"/>
      <c r="Y867" s="1"/>
      <c r="Z867" s="1"/>
      <c r="AA867" s="1"/>
    </row>
    <row r="868" spans="2:27" ht="12.75"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72"/>
      <c r="W868" s="80"/>
      <c r="X868" s="1"/>
      <c r="Y868" s="1"/>
      <c r="Z868" s="1"/>
      <c r="AA868" s="1"/>
    </row>
    <row r="869" spans="2:27" ht="12.75"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72"/>
      <c r="W869" s="80"/>
      <c r="X869" s="1"/>
      <c r="Y869" s="1"/>
      <c r="Z869" s="1"/>
      <c r="AA869" s="1"/>
    </row>
    <row r="870" spans="2:27" ht="12.75"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72"/>
      <c r="W870" s="80"/>
      <c r="X870" s="1"/>
      <c r="Y870" s="1"/>
      <c r="Z870" s="1"/>
      <c r="AA870" s="1"/>
    </row>
    <row r="871" spans="2:27" ht="12.75"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72"/>
      <c r="W871" s="80"/>
      <c r="X871" s="1"/>
      <c r="Y871" s="1"/>
      <c r="Z871" s="1"/>
      <c r="AA871" s="1"/>
    </row>
    <row r="872" spans="2:27" ht="12.75"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72"/>
      <c r="W872" s="80"/>
      <c r="X872" s="1"/>
      <c r="Y872" s="1"/>
      <c r="Z872" s="1"/>
      <c r="AA872" s="1"/>
    </row>
    <row r="873" spans="2:27" ht="12.75"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72"/>
      <c r="W873" s="80"/>
      <c r="X873" s="1"/>
      <c r="Y873" s="1"/>
      <c r="Z873" s="1"/>
      <c r="AA873" s="1"/>
    </row>
    <row r="874" spans="2:27" ht="12.75"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72"/>
      <c r="W874" s="80"/>
      <c r="X874" s="1"/>
      <c r="Y874" s="1"/>
      <c r="Z874" s="1"/>
      <c r="AA874" s="1"/>
    </row>
    <row r="875" spans="2:27" ht="12.75"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72"/>
      <c r="W875" s="80"/>
      <c r="X875" s="1"/>
      <c r="Y875" s="1"/>
      <c r="Z875" s="1"/>
      <c r="AA875" s="1"/>
    </row>
    <row r="876" spans="2:27" ht="12.75"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72"/>
      <c r="W876" s="80"/>
      <c r="X876" s="1"/>
      <c r="Y876" s="1"/>
      <c r="Z876" s="1"/>
      <c r="AA876" s="1"/>
    </row>
    <row r="877" spans="2:27" ht="12.75"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72"/>
      <c r="W877" s="80"/>
      <c r="X877" s="1"/>
      <c r="Y877" s="1"/>
      <c r="Z877" s="1"/>
      <c r="AA877" s="1"/>
    </row>
    <row r="878" spans="2:27" ht="12.75"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72"/>
      <c r="W878" s="80"/>
      <c r="X878" s="1"/>
      <c r="Y878" s="1"/>
      <c r="Z878" s="1"/>
      <c r="AA878" s="1"/>
    </row>
    <row r="879" spans="2:27" ht="12.75"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72"/>
      <c r="W879" s="80"/>
      <c r="X879" s="1"/>
      <c r="Y879" s="1"/>
      <c r="Z879" s="1"/>
      <c r="AA879" s="1"/>
    </row>
    <row r="880" spans="2:27" ht="12.75"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72"/>
      <c r="W880" s="80"/>
      <c r="X880" s="1"/>
      <c r="Y880" s="1"/>
      <c r="Z880" s="1"/>
      <c r="AA880" s="1"/>
    </row>
    <row r="881" spans="2:27" ht="12.75"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72"/>
      <c r="W881" s="80"/>
      <c r="X881" s="1"/>
      <c r="Y881" s="1"/>
      <c r="Z881" s="1"/>
      <c r="AA881" s="1"/>
    </row>
    <row r="882" spans="2:27" ht="12.75"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72"/>
      <c r="W882" s="80"/>
      <c r="X882" s="1"/>
      <c r="Y882" s="1"/>
      <c r="Z882" s="1"/>
      <c r="AA882" s="1"/>
    </row>
    <row r="883" spans="2:27" ht="12.75"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72"/>
      <c r="W883" s="80"/>
      <c r="X883" s="1"/>
      <c r="Y883" s="1"/>
      <c r="Z883" s="1"/>
      <c r="AA883" s="1"/>
    </row>
    <row r="884" spans="2:27" ht="12.75"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72"/>
      <c r="W884" s="80"/>
      <c r="X884" s="1"/>
      <c r="Y884" s="1"/>
      <c r="Z884" s="1"/>
      <c r="AA884" s="1"/>
    </row>
    <row r="885" spans="2:27" ht="12.75"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72"/>
      <c r="W885" s="80"/>
      <c r="X885" s="1"/>
      <c r="Y885" s="1"/>
      <c r="Z885" s="1"/>
      <c r="AA885" s="1"/>
    </row>
    <row r="886" spans="2:27" ht="12.75"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72"/>
      <c r="W886" s="80"/>
      <c r="X886" s="1"/>
      <c r="Y886" s="1"/>
      <c r="Z886" s="1"/>
      <c r="AA886" s="1"/>
    </row>
    <row r="887" spans="2:27" ht="12.75"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72"/>
      <c r="W887" s="80"/>
      <c r="X887" s="1"/>
      <c r="Y887" s="1"/>
      <c r="Z887" s="1"/>
      <c r="AA887" s="1"/>
    </row>
    <row r="888" spans="2:27" ht="12.75"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72"/>
      <c r="W888" s="80"/>
      <c r="X888" s="1"/>
      <c r="Y888" s="1"/>
      <c r="Z888" s="1"/>
      <c r="AA888" s="1"/>
    </row>
    <row r="889" spans="2:27" ht="12.75"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72"/>
      <c r="W889" s="80"/>
      <c r="X889" s="1"/>
      <c r="Y889" s="1"/>
      <c r="Z889" s="1"/>
      <c r="AA889" s="1"/>
    </row>
    <row r="890" spans="2:27" ht="12.75"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72"/>
      <c r="W890" s="80"/>
      <c r="X890" s="1"/>
      <c r="Y890" s="1"/>
      <c r="Z890" s="1"/>
      <c r="AA890" s="1"/>
    </row>
    <row r="891" spans="2:27" ht="12.75"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72"/>
      <c r="W891" s="80"/>
      <c r="X891" s="1"/>
      <c r="Y891" s="1"/>
      <c r="Z891" s="1"/>
      <c r="AA891" s="1"/>
    </row>
    <row r="892" spans="2:27" ht="12.75"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72"/>
      <c r="W892" s="80"/>
      <c r="X892" s="1"/>
      <c r="Y892" s="1"/>
      <c r="Z892" s="1"/>
      <c r="AA892" s="1"/>
    </row>
    <row r="893" spans="2:27" ht="12.75"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72"/>
      <c r="W893" s="80"/>
      <c r="X893" s="1"/>
      <c r="Y893" s="1"/>
      <c r="Z893" s="1"/>
      <c r="AA893" s="1"/>
    </row>
    <row r="894" spans="2:27" ht="12.75"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72"/>
      <c r="W894" s="80"/>
      <c r="X894" s="1"/>
      <c r="Y894" s="1"/>
      <c r="Z894" s="1"/>
      <c r="AA894" s="1"/>
    </row>
    <row r="895" spans="2:27" ht="12.75"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72"/>
      <c r="W895" s="80"/>
      <c r="X895" s="1"/>
      <c r="Y895" s="1"/>
      <c r="Z895" s="1"/>
      <c r="AA895" s="1"/>
    </row>
    <row r="896" spans="2:27" ht="12.75"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72"/>
      <c r="W896" s="80"/>
      <c r="X896" s="1"/>
      <c r="Y896" s="1"/>
      <c r="Z896" s="1"/>
      <c r="AA896" s="1"/>
    </row>
    <row r="897" spans="2:27" ht="12.75"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72"/>
      <c r="W897" s="80"/>
      <c r="X897" s="1"/>
      <c r="Y897" s="1"/>
      <c r="Z897" s="1"/>
      <c r="AA897" s="1"/>
    </row>
    <row r="898" spans="2:27" ht="12.75"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72"/>
      <c r="W898" s="80"/>
      <c r="X898" s="1"/>
      <c r="Y898" s="1"/>
      <c r="Z898" s="1"/>
      <c r="AA898" s="1"/>
    </row>
    <row r="899" spans="2:27" ht="12.75"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72"/>
      <c r="W899" s="80"/>
      <c r="X899" s="1"/>
      <c r="Y899" s="1"/>
      <c r="Z899" s="1"/>
      <c r="AA899" s="1"/>
    </row>
    <row r="900" spans="2:27" ht="12.75"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72"/>
      <c r="W900" s="80"/>
      <c r="X900" s="1"/>
      <c r="Y900" s="1"/>
      <c r="Z900" s="1"/>
      <c r="AA900" s="1"/>
    </row>
    <row r="901" spans="2:27" ht="12.75"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72"/>
      <c r="W901" s="80"/>
      <c r="X901" s="1"/>
      <c r="Y901" s="1"/>
      <c r="Z901" s="1"/>
      <c r="AA901" s="1"/>
    </row>
    <row r="902" spans="2:27" ht="12.75"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72"/>
      <c r="W902" s="80"/>
      <c r="X902" s="1"/>
      <c r="Y902" s="1"/>
      <c r="Z902" s="1"/>
      <c r="AA902" s="1"/>
    </row>
    <row r="903" spans="2:27" ht="12.75"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72"/>
      <c r="W903" s="80"/>
      <c r="X903" s="1"/>
      <c r="Y903" s="1"/>
      <c r="Z903" s="1"/>
      <c r="AA903" s="1"/>
    </row>
    <row r="904" spans="2:27" ht="12.75"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72"/>
      <c r="W904" s="80"/>
      <c r="X904" s="1"/>
      <c r="Y904" s="1"/>
      <c r="Z904" s="1"/>
      <c r="AA904" s="1"/>
    </row>
    <row r="905" spans="2:27" ht="12.75"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72"/>
      <c r="W905" s="80"/>
      <c r="X905" s="1"/>
      <c r="Y905" s="1"/>
      <c r="Z905" s="1"/>
      <c r="AA905" s="1"/>
    </row>
    <row r="906" spans="2:27" ht="12.75"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72"/>
      <c r="W906" s="80"/>
      <c r="X906" s="1"/>
      <c r="Y906" s="1"/>
      <c r="Z906" s="1"/>
      <c r="AA906" s="1"/>
    </row>
    <row r="907" spans="2:27" ht="12.75"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72"/>
      <c r="W907" s="80"/>
      <c r="X907" s="1"/>
      <c r="Y907" s="1"/>
      <c r="Z907" s="1"/>
      <c r="AA907" s="1"/>
    </row>
    <row r="908" spans="2:27" ht="12.75"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72"/>
      <c r="W908" s="80"/>
      <c r="X908" s="1"/>
      <c r="Y908" s="1"/>
      <c r="Z908" s="1"/>
      <c r="AA908" s="1"/>
    </row>
    <row r="909" spans="2:27" ht="12.75"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72"/>
      <c r="W909" s="80"/>
      <c r="X909" s="1"/>
      <c r="Y909" s="1"/>
      <c r="Z909" s="1"/>
      <c r="AA909" s="1"/>
    </row>
    <row r="910" spans="2:27" ht="12.75"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72"/>
      <c r="W910" s="80"/>
      <c r="X910" s="1"/>
      <c r="Y910" s="1"/>
      <c r="Z910" s="1"/>
      <c r="AA910" s="1"/>
    </row>
    <row r="911" spans="2:27" ht="12.75"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72"/>
      <c r="W911" s="80"/>
      <c r="X911" s="1"/>
      <c r="Y911" s="1"/>
      <c r="Z911" s="1"/>
      <c r="AA911" s="1"/>
    </row>
    <row r="912" spans="2:27" ht="12.75"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72"/>
      <c r="W912" s="80"/>
      <c r="X912" s="1"/>
      <c r="Y912" s="1"/>
      <c r="Z912" s="1"/>
      <c r="AA912" s="1"/>
    </row>
    <row r="913" spans="2:27" ht="12.75"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72"/>
      <c r="W913" s="80"/>
      <c r="X913" s="1"/>
      <c r="Y913" s="1"/>
      <c r="Z913" s="1"/>
      <c r="AA913" s="1"/>
    </row>
    <row r="914" spans="2:27" ht="12.75"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72"/>
      <c r="W914" s="80"/>
      <c r="X914" s="1"/>
      <c r="Y914" s="1"/>
      <c r="Z914" s="1"/>
      <c r="AA914" s="1"/>
    </row>
    <row r="915" spans="2:27" ht="12.75"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72"/>
      <c r="W915" s="80"/>
      <c r="X915" s="1"/>
      <c r="Y915" s="1"/>
      <c r="Z915" s="1"/>
      <c r="AA915" s="1"/>
    </row>
    <row r="916" spans="2:27" ht="12.75"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72"/>
      <c r="W916" s="80"/>
      <c r="X916" s="1"/>
      <c r="Y916" s="1"/>
      <c r="Z916" s="1"/>
      <c r="AA916" s="1"/>
    </row>
    <row r="917" spans="2:27" ht="12.75"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72"/>
      <c r="W917" s="80"/>
      <c r="X917" s="1"/>
      <c r="Y917" s="1"/>
      <c r="Z917" s="1"/>
      <c r="AA917" s="1"/>
    </row>
    <row r="918" spans="2:27" ht="12.75"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72"/>
      <c r="W918" s="80"/>
      <c r="X918" s="1"/>
      <c r="Y918" s="1"/>
      <c r="Z918" s="1"/>
      <c r="AA918" s="1"/>
    </row>
    <row r="919" spans="2:27" ht="12.75"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72"/>
      <c r="W919" s="80"/>
      <c r="X919" s="1"/>
      <c r="Y919" s="1"/>
      <c r="Z919" s="1"/>
      <c r="AA919" s="1"/>
    </row>
    <row r="920" spans="2:27" ht="12.75"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72"/>
      <c r="W920" s="80"/>
      <c r="X920" s="1"/>
      <c r="Y920" s="1"/>
      <c r="Z920" s="1"/>
      <c r="AA920" s="1"/>
    </row>
    <row r="921" spans="2:27" ht="12.75"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72"/>
      <c r="W921" s="80"/>
      <c r="X921" s="1"/>
      <c r="Y921" s="1"/>
      <c r="Z921" s="1"/>
      <c r="AA921" s="1"/>
    </row>
    <row r="922" spans="2:27" ht="12.75"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72"/>
      <c r="W922" s="80"/>
      <c r="X922" s="1"/>
      <c r="Y922" s="1"/>
      <c r="Z922" s="1"/>
      <c r="AA922" s="1"/>
    </row>
    <row r="923" spans="2:27" ht="12.75"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72"/>
      <c r="W923" s="80"/>
      <c r="X923" s="1"/>
      <c r="Y923" s="1"/>
      <c r="Z923" s="1"/>
      <c r="AA923" s="1"/>
    </row>
    <row r="924" spans="2:27" ht="12.75"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72"/>
      <c r="W924" s="80"/>
      <c r="X924" s="1"/>
      <c r="Y924" s="1"/>
      <c r="Z924" s="1"/>
      <c r="AA924" s="1"/>
    </row>
    <row r="925" spans="2:27" ht="12.75"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72"/>
      <c r="W925" s="80"/>
      <c r="X925" s="1"/>
      <c r="Y925" s="1"/>
      <c r="Z925" s="1"/>
      <c r="AA925" s="1"/>
    </row>
    <row r="926" spans="2:27" ht="12.75"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72"/>
      <c r="W926" s="80"/>
      <c r="X926" s="1"/>
      <c r="Y926" s="1"/>
      <c r="Z926" s="1"/>
      <c r="AA926" s="1"/>
    </row>
    <row r="927" spans="2:27" ht="12.75"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72"/>
      <c r="W927" s="80"/>
      <c r="X927" s="1"/>
      <c r="Y927" s="1"/>
      <c r="Z927" s="1"/>
      <c r="AA927" s="1"/>
    </row>
    <row r="928" spans="2:27" ht="12.75"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72"/>
      <c r="W928" s="80"/>
      <c r="X928" s="1"/>
      <c r="Y928" s="1"/>
      <c r="Z928" s="1"/>
      <c r="AA928" s="1"/>
    </row>
    <row r="929" spans="2:27" ht="12.75"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72"/>
      <c r="W929" s="80"/>
      <c r="X929" s="1"/>
      <c r="Y929" s="1"/>
      <c r="Z929" s="1"/>
      <c r="AA929" s="1"/>
    </row>
    <row r="930" spans="2:27" ht="12.75"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72"/>
      <c r="W930" s="80"/>
      <c r="X930" s="1"/>
      <c r="Y930" s="1"/>
      <c r="Z930" s="1"/>
      <c r="AA930" s="1"/>
    </row>
    <row r="931" spans="2:27" ht="12.75"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72"/>
      <c r="W931" s="80"/>
      <c r="X931" s="1"/>
      <c r="Y931" s="1"/>
      <c r="Z931" s="1"/>
      <c r="AA931" s="1"/>
    </row>
    <row r="932" spans="2:27" ht="12.75"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72"/>
      <c r="W932" s="80"/>
      <c r="X932" s="1"/>
      <c r="Y932" s="1"/>
      <c r="Z932" s="1"/>
      <c r="AA932" s="1"/>
    </row>
    <row r="933" spans="2:27" ht="12.75"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72"/>
      <c r="W933" s="80"/>
      <c r="X933" s="1"/>
      <c r="Y933" s="1"/>
      <c r="Z933" s="1"/>
      <c r="AA933" s="1"/>
    </row>
    <row r="934" spans="2:27" ht="12.75"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72"/>
      <c r="W934" s="80"/>
      <c r="X934" s="1"/>
      <c r="Y934" s="1"/>
      <c r="Z934" s="1"/>
      <c r="AA934" s="1"/>
    </row>
    <row r="935" spans="2:27" ht="12.75"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72"/>
      <c r="W935" s="80"/>
      <c r="X935" s="1"/>
      <c r="Y935" s="1"/>
      <c r="Z935" s="1"/>
      <c r="AA935" s="1"/>
    </row>
    <row r="936" spans="2:27" ht="12.75"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72"/>
      <c r="W936" s="80"/>
      <c r="X936" s="1"/>
      <c r="Y936" s="1"/>
      <c r="Z936" s="1"/>
      <c r="AA936" s="1"/>
    </row>
    <row r="937" spans="2:27" ht="12.75"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72"/>
      <c r="W937" s="80"/>
      <c r="X937" s="1"/>
      <c r="Y937" s="1"/>
      <c r="Z937" s="1"/>
      <c r="AA937" s="1"/>
    </row>
    <row r="938" spans="2:27" ht="12.75"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72"/>
      <c r="W938" s="80"/>
      <c r="X938" s="1"/>
      <c r="Y938" s="1"/>
      <c r="Z938" s="1"/>
      <c r="AA938" s="1"/>
    </row>
    <row r="939" spans="2:27" ht="12.75"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72"/>
      <c r="W939" s="80"/>
      <c r="X939" s="1"/>
      <c r="Y939" s="1"/>
      <c r="Z939" s="1"/>
      <c r="AA939" s="1"/>
    </row>
    <row r="940" spans="2:27" ht="12.75"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72"/>
      <c r="W940" s="80"/>
      <c r="X940" s="1"/>
      <c r="Y940" s="1"/>
      <c r="Z940" s="1"/>
      <c r="AA940" s="1"/>
    </row>
    <row r="941" spans="2:27" ht="12.75"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72"/>
      <c r="W941" s="80"/>
      <c r="X941" s="1"/>
      <c r="Y941" s="1"/>
      <c r="Z941" s="1"/>
      <c r="AA941" s="1"/>
    </row>
    <row r="942" spans="2:27" ht="12.75"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72"/>
      <c r="W942" s="80"/>
      <c r="X942" s="1"/>
      <c r="Y942" s="1"/>
      <c r="Z942" s="1"/>
      <c r="AA942" s="1"/>
    </row>
    <row r="943" spans="2:27" ht="12.75"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72"/>
      <c r="W943" s="80"/>
      <c r="X943" s="1"/>
      <c r="Y943" s="1"/>
      <c r="Z943" s="1"/>
      <c r="AA943" s="1"/>
    </row>
    <row r="944" spans="2:27" ht="12.75"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72"/>
      <c r="W944" s="80"/>
      <c r="X944" s="1"/>
      <c r="Y944" s="1"/>
      <c r="Z944" s="1"/>
      <c r="AA944" s="1"/>
    </row>
    <row r="945" spans="2:27" ht="12.75"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72"/>
      <c r="W945" s="80"/>
      <c r="X945" s="1"/>
      <c r="Y945" s="1"/>
      <c r="Z945" s="1"/>
      <c r="AA945" s="1"/>
    </row>
    <row r="946" spans="2:27" ht="12.75"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72"/>
      <c r="W946" s="80"/>
      <c r="X946" s="1"/>
      <c r="Y946" s="1"/>
      <c r="Z946" s="1"/>
      <c r="AA946" s="1"/>
    </row>
    <row r="947" spans="2:27" ht="12.75"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72"/>
      <c r="W947" s="80"/>
      <c r="X947" s="1"/>
      <c r="Y947" s="1"/>
      <c r="Z947" s="1"/>
      <c r="AA947" s="1"/>
    </row>
    <row r="948" spans="2:27" ht="12.75"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72"/>
      <c r="W948" s="80"/>
      <c r="X948" s="1"/>
      <c r="Y948" s="1"/>
      <c r="Z948" s="1"/>
      <c r="AA948" s="1"/>
    </row>
    <row r="949" spans="2:27" ht="12.75"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72"/>
      <c r="W949" s="80"/>
      <c r="X949" s="1"/>
      <c r="Y949" s="1"/>
      <c r="Z949" s="1"/>
      <c r="AA949" s="1"/>
    </row>
    <row r="950" spans="2:27" ht="12.75"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72"/>
      <c r="W950" s="80"/>
      <c r="X950" s="1"/>
      <c r="Y950" s="1"/>
      <c r="Z950" s="1"/>
      <c r="AA950" s="1"/>
    </row>
    <row r="951" spans="2:27" ht="12.75"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72"/>
      <c r="W951" s="80"/>
      <c r="X951" s="1"/>
      <c r="Y951" s="1"/>
      <c r="Z951" s="1"/>
      <c r="AA951" s="1"/>
    </row>
    <row r="952" spans="2:27" ht="12.75"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72"/>
      <c r="W952" s="80"/>
      <c r="X952" s="1"/>
      <c r="Y952" s="1"/>
      <c r="Z952" s="1"/>
      <c r="AA952" s="1"/>
    </row>
    <row r="953" spans="2:27" ht="12.75"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72"/>
      <c r="W953" s="80"/>
      <c r="X953" s="1"/>
      <c r="Y953" s="1"/>
      <c r="Z953" s="1"/>
      <c r="AA953" s="1"/>
    </row>
    <row r="954" spans="2:27" ht="12.75"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72"/>
      <c r="W954" s="80"/>
      <c r="X954" s="1"/>
      <c r="Y954" s="1"/>
      <c r="Z954" s="1"/>
      <c r="AA954" s="1"/>
    </row>
    <row r="955" spans="2:27" ht="12.75"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72"/>
      <c r="W955" s="80"/>
      <c r="X955" s="1"/>
      <c r="Y955" s="1"/>
      <c r="Z955" s="1"/>
      <c r="AA955" s="1"/>
    </row>
    <row r="956" spans="2:27" ht="12.75"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72"/>
      <c r="W956" s="80"/>
      <c r="X956" s="1"/>
      <c r="Y956" s="1"/>
      <c r="Z956" s="1"/>
      <c r="AA956" s="1"/>
    </row>
    <row r="957" spans="2:27" ht="12.75"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72"/>
      <c r="W957" s="80"/>
      <c r="X957" s="1"/>
      <c r="Y957" s="1"/>
      <c r="Z957" s="1"/>
      <c r="AA957" s="1"/>
    </row>
    <row r="958" spans="2:27" ht="12.75"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72"/>
      <c r="W958" s="80"/>
      <c r="X958" s="1"/>
      <c r="Y958" s="1"/>
      <c r="Z958" s="1"/>
      <c r="AA958" s="1"/>
    </row>
    <row r="959" spans="2:27" ht="12.75"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72"/>
      <c r="W959" s="80"/>
      <c r="X959" s="1"/>
      <c r="Y959" s="1"/>
      <c r="Z959" s="1"/>
      <c r="AA959" s="1"/>
    </row>
    <row r="960" spans="2:27" ht="12.75"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72"/>
      <c r="W960" s="80"/>
      <c r="X960" s="1"/>
      <c r="Y960" s="1"/>
      <c r="Z960" s="1"/>
      <c r="AA960" s="1"/>
    </row>
    <row r="961" spans="2:27" ht="12.75"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72"/>
      <c r="W961" s="80"/>
      <c r="X961" s="1"/>
      <c r="Y961" s="1"/>
      <c r="Z961" s="1"/>
      <c r="AA961" s="1"/>
    </row>
    <row r="962" spans="2:27" ht="12.75"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72"/>
      <c r="W962" s="80"/>
      <c r="X962" s="1"/>
      <c r="Y962" s="1"/>
      <c r="Z962" s="1"/>
      <c r="AA962" s="1"/>
    </row>
    <row r="963" spans="2:27" ht="12.75"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72"/>
      <c r="W963" s="80"/>
      <c r="X963" s="1"/>
      <c r="Y963" s="1"/>
      <c r="Z963" s="1"/>
      <c r="AA963" s="1"/>
    </row>
    <row r="964" spans="2:27" ht="12.75"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72"/>
      <c r="W964" s="80"/>
      <c r="X964" s="1"/>
      <c r="Y964" s="1"/>
      <c r="Z964" s="1"/>
      <c r="AA964" s="1"/>
    </row>
    <row r="965" spans="2:27" ht="12.75"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72"/>
      <c r="W965" s="80"/>
      <c r="X965" s="1"/>
      <c r="Y965" s="1"/>
      <c r="Z965" s="1"/>
      <c r="AA965" s="1"/>
    </row>
    <row r="966" spans="2:27" ht="12.75"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72"/>
      <c r="W966" s="80"/>
      <c r="X966" s="1"/>
      <c r="Y966" s="1"/>
      <c r="Z966" s="1"/>
      <c r="AA966" s="1"/>
    </row>
    <row r="967" spans="2:27" ht="12.75"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72"/>
      <c r="W967" s="80"/>
      <c r="X967" s="1"/>
      <c r="Y967" s="1"/>
      <c r="Z967" s="1"/>
      <c r="AA967" s="1"/>
    </row>
    <row r="968" spans="2:27" ht="12.75"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72"/>
      <c r="W968" s="80"/>
      <c r="X968" s="1"/>
      <c r="Y968" s="1"/>
      <c r="Z968" s="1"/>
      <c r="AA968" s="1"/>
    </row>
    <row r="969" spans="2:27" ht="12.75"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72"/>
      <c r="W969" s="80"/>
      <c r="X969" s="1"/>
      <c r="Y969" s="1"/>
      <c r="Z969" s="1"/>
      <c r="AA969" s="1"/>
    </row>
    <row r="970" spans="2:27" ht="12.75"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72"/>
      <c r="W970" s="80"/>
      <c r="X970" s="1"/>
      <c r="Y970" s="1"/>
      <c r="Z970" s="1"/>
      <c r="AA970" s="1"/>
    </row>
    <row r="971" spans="2:27" ht="12.75"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72"/>
      <c r="W971" s="80"/>
      <c r="X971" s="1"/>
      <c r="Y971" s="1"/>
      <c r="Z971" s="1"/>
      <c r="AA971" s="1"/>
    </row>
    <row r="972" spans="2:27" ht="12.75"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72"/>
      <c r="W972" s="80"/>
      <c r="X972" s="1"/>
      <c r="Y972" s="1"/>
      <c r="Z972" s="1"/>
      <c r="AA972" s="1"/>
    </row>
    <row r="973" spans="2:27" ht="12.75"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72"/>
      <c r="W973" s="80"/>
      <c r="X973" s="1"/>
      <c r="Y973" s="1"/>
      <c r="Z973" s="1"/>
      <c r="AA973" s="1"/>
    </row>
    <row r="974" spans="2:27" ht="12.75"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72"/>
      <c r="W974" s="80"/>
      <c r="X974" s="1"/>
      <c r="Y974" s="1"/>
      <c r="Z974" s="1"/>
      <c r="AA974" s="1"/>
    </row>
    <row r="975" spans="2:27" ht="12.75"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72"/>
      <c r="W975" s="80"/>
      <c r="X975" s="1"/>
      <c r="Y975" s="1"/>
      <c r="Z975" s="1"/>
      <c r="AA975" s="1"/>
    </row>
    <row r="976" spans="2:27" ht="12.75"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72"/>
      <c r="W976" s="80"/>
      <c r="X976" s="1"/>
      <c r="Y976" s="1"/>
      <c r="Z976" s="1"/>
      <c r="AA976" s="1"/>
    </row>
    <row r="977" spans="2:27" ht="12.75"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72"/>
      <c r="W977" s="80"/>
      <c r="X977" s="1"/>
      <c r="Y977" s="1"/>
      <c r="Z977" s="1"/>
      <c r="AA977" s="1"/>
    </row>
    <row r="978" spans="2:27" ht="12.75"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72"/>
      <c r="W978" s="80"/>
      <c r="X978" s="1"/>
      <c r="Y978" s="1"/>
      <c r="Z978" s="1"/>
      <c r="AA978" s="1"/>
    </row>
    <row r="979" spans="2:27" ht="12.75"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72"/>
      <c r="W979" s="80"/>
      <c r="X979" s="1"/>
      <c r="Y979" s="1"/>
      <c r="Z979" s="1"/>
      <c r="AA979" s="1"/>
    </row>
    <row r="980" spans="2:27" ht="12.75"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72"/>
      <c r="W980" s="80"/>
      <c r="X980" s="1"/>
      <c r="Y980" s="1"/>
      <c r="Z980" s="1"/>
      <c r="AA980" s="1"/>
    </row>
    <row r="981" spans="2:27" ht="12.75"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72"/>
      <c r="W981" s="80"/>
      <c r="X981" s="1"/>
      <c r="Y981" s="1"/>
      <c r="Z981" s="1"/>
      <c r="AA981" s="1"/>
    </row>
    <row r="982" spans="2:27" ht="12.75"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72"/>
      <c r="W982" s="80"/>
      <c r="X982" s="1"/>
      <c r="Y982" s="1"/>
      <c r="Z982" s="1"/>
      <c r="AA982" s="1"/>
    </row>
    <row r="983" spans="2:27" ht="12.75"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72"/>
      <c r="W983" s="80"/>
      <c r="X983" s="1"/>
      <c r="Y983" s="1"/>
      <c r="Z983" s="1"/>
      <c r="AA983" s="1"/>
    </row>
    <row r="984" spans="2:27" ht="12.75"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72"/>
      <c r="W984" s="80"/>
      <c r="X984" s="1"/>
      <c r="Y984" s="1"/>
      <c r="Z984" s="1"/>
      <c r="AA984" s="1"/>
    </row>
    <row r="985" spans="2:27" ht="12.75"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72"/>
      <c r="W985" s="80"/>
      <c r="X985" s="1"/>
      <c r="Y985" s="1"/>
      <c r="Z985" s="1"/>
      <c r="AA985" s="1"/>
    </row>
    <row r="986" spans="2:27" ht="12.75"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72"/>
      <c r="W986" s="80"/>
      <c r="X986" s="1"/>
      <c r="Y986" s="1"/>
      <c r="Z986" s="1"/>
      <c r="AA986" s="1"/>
    </row>
    <row r="987" spans="2:27" ht="12.75"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72"/>
      <c r="W987" s="80"/>
      <c r="X987" s="1"/>
      <c r="Y987" s="1"/>
      <c r="Z987" s="1"/>
      <c r="AA987" s="1"/>
    </row>
    <row r="988" spans="2:27" ht="12.75"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72"/>
      <c r="W988" s="80"/>
      <c r="X988" s="1"/>
      <c r="Y988" s="1"/>
      <c r="Z988" s="1"/>
      <c r="AA988" s="1"/>
    </row>
    <row r="989" spans="2:27" ht="12.75"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72"/>
      <c r="W989" s="80"/>
      <c r="X989" s="1"/>
      <c r="Y989" s="1"/>
      <c r="Z989" s="1"/>
      <c r="AA989" s="1"/>
    </row>
    <row r="990" spans="2:27" ht="12.75"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72"/>
      <c r="W990" s="80"/>
      <c r="X990" s="1"/>
      <c r="Y990" s="1"/>
      <c r="Z990" s="1"/>
      <c r="AA990" s="1"/>
    </row>
    <row r="991" spans="2:27" ht="12.75"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72"/>
      <c r="W991" s="80"/>
      <c r="X991" s="1"/>
      <c r="Y991" s="1"/>
      <c r="Z991" s="1"/>
      <c r="AA991" s="1"/>
    </row>
    <row r="992" spans="2:27" ht="12.75"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72"/>
      <c r="W992" s="80"/>
      <c r="X992" s="1"/>
      <c r="Y992" s="1"/>
      <c r="Z992" s="1"/>
      <c r="AA992" s="1"/>
    </row>
    <row r="993" spans="2:27" ht="12.75"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72"/>
      <c r="W993" s="80"/>
      <c r="X993" s="1"/>
      <c r="Y993" s="1"/>
      <c r="Z993" s="1"/>
      <c r="AA993" s="1"/>
    </row>
    <row r="994" spans="2:27" ht="12.75"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72"/>
      <c r="W994" s="80"/>
      <c r="X994" s="1"/>
      <c r="Y994" s="1"/>
      <c r="Z994" s="1"/>
      <c r="AA994" s="1"/>
    </row>
    <row r="995" spans="2:27" ht="12.75"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72"/>
      <c r="W995" s="80"/>
      <c r="X995" s="1"/>
      <c r="Y995" s="1"/>
      <c r="Z995" s="1"/>
      <c r="AA995" s="1"/>
    </row>
    <row r="996" spans="2:27" ht="12.75"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72"/>
      <c r="W996" s="80"/>
      <c r="X996" s="1"/>
      <c r="Y996" s="1"/>
      <c r="Z996" s="1"/>
      <c r="AA996" s="1"/>
    </row>
    <row r="997" spans="2:27" ht="12.75">
      <c r="V997" s="2"/>
      <c r="W997" s="1"/>
      <c r="X997" s="1"/>
      <c r="Y997" s="1"/>
      <c r="Z997" s="1"/>
      <c r="AA997" s="1"/>
    </row>
    <row r="998" spans="2:27" ht="12.75">
      <c r="V998" s="2"/>
      <c r="W998" s="1"/>
      <c r="X998" s="1"/>
      <c r="Y998" s="1"/>
      <c r="Z998" s="1"/>
      <c r="AA998" s="1"/>
    </row>
    <row r="999" spans="2:27" ht="12.75">
      <c r="V999" s="2"/>
      <c r="W999" s="1"/>
      <c r="X999" s="1"/>
      <c r="Y999" s="1"/>
      <c r="Z999" s="1"/>
      <c r="AA999" s="1"/>
    </row>
    <row r="1000" spans="2:27" ht="12.75">
      <c r="V1000" s="2"/>
      <c r="W1000" s="1"/>
      <c r="X1000" s="1"/>
      <c r="Y1000" s="1"/>
      <c r="Z1000" s="1"/>
      <c r="AA1000" s="1"/>
    </row>
    <row r="1001" spans="2:27" ht="12.75">
      <c r="V1001" s="2"/>
      <c r="W1001" s="1"/>
      <c r="X1001" s="1"/>
      <c r="Y1001" s="1"/>
      <c r="Z1001" s="1"/>
      <c r="AA1001" s="1"/>
    </row>
    <row r="1002" spans="2:27" ht="12.75">
      <c r="V1002" s="2"/>
      <c r="W1002" s="1"/>
      <c r="X1002" s="1"/>
      <c r="Y1002" s="1"/>
      <c r="Z1002" s="1"/>
      <c r="AA1002" s="1"/>
    </row>
    <row r="1003" spans="2:27" ht="12.75">
      <c r="V1003" s="2"/>
      <c r="W1003" s="1"/>
      <c r="X1003" s="1"/>
      <c r="Y1003" s="1"/>
      <c r="Z1003" s="1"/>
      <c r="AA1003" s="1"/>
    </row>
    <row r="1004" spans="2:27" ht="12.75">
      <c r="V1004" s="2"/>
      <c r="W1004" s="1"/>
      <c r="X1004" s="1"/>
      <c r="Y1004" s="1"/>
      <c r="Z1004" s="1"/>
      <c r="AA1004" s="1"/>
    </row>
    <row r="1005" spans="2:27" ht="12.75">
      <c r="V1005" s="2"/>
      <c r="W1005" s="1"/>
      <c r="X1005" s="1"/>
      <c r="Y1005" s="1"/>
      <c r="Z1005" s="1"/>
      <c r="AA1005" s="1"/>
    </row>
    <row r="1006" spans="2:27" ht="12.75">
      <c r="V1006" s="2"/>
      <c r="W1006" s="1"/>
      <c r="X1006" s="1"/>
      <c r="Y1006" s="1"/>
      <c r="Z1006" s="1"/>
      <c r="AA1006" s="1"/>
    </row>
    <row r="1007" spans="2:27" ht="12.75">
      <c r="V1007" s="2"/>
      <c r="W1007" s="1"/>
      <c r="X1007" s="1"/>
      <c r="Y1007" s="1"/>
      <c r="Z1007" s="1"/>
      <c r="AA1007" s="1"/>
    </row>
    <row r="1008" spans="2:27" ht="12.75">
      <c r="V1008" s="2"/>
      <c r="W1008" s="1"/>
      <c r="X1008" s="1"/>
      <c r="Y1008" s="1"/>
      <c r="Z1008" s="1"/>
      <c r="AA1008" s="1"/>
    </row>
    <row r="1009" spans="22:27" ht="12.75">
      <c r="V1009" s="2"/>
      <c r="W1009" s="1"/>
      <c r="X1009" s="1"/>
      <c r="Y1009" s="1"/>
      <c r="Z1009" s="1"/>
      <c r="AA1009" s="1"/>
    </row>
    <row r="1010" spans="22:27" ht="12.75">
      <c r="V1010" s="2"/>
      <c r="W1010" s="1"/>
      <c r="X1010" s="1"/>
      <c r="Y1010" s="1"/>
      <c r="Z1010" s="1"/>
      <c r="AA1010" s="1"/>
    </row>
    <row r="1011" spans="22:27" ht="12.75">
      <c r="V1011" s="2"/>
      <c r="W1011" s="1"/>
      <c r="X1011" s="1"/>
      <c r="Y1011" s="1"/>
      <c r="Z1011" s="1"/>
      <c r="AA1011" s="1"/>
    </row>
    <row r="1012" spans="22:27" ht="12.75">
      <c r="V1012" s="2"/>
      <c r="W1012" s="1"/>
      <c r="X1012" s="1"/>
      <c r="Y1012" s="1"/>
      <c r="Z1012" s="1"/>
      <c r="AA1012" s="1"/>
    </row>
    <row r="1013" spans="22:27" ht="12.75">
      <c r="V1013" s="2"/>
      <c r="W1013" s="1"/>
      <c r="X1013" s="1"/>
      <c r="Y1013" s="1"/>
      <c r="Z1013" s="1"/>
      <c r="AA1013" s="1"/>
    </row>
    <row r="1014" spans="22:27" ht="12.75">
      <c r="V1014" s="2"/>
      <c r="W1014" s="1"/>
      <c r="X1014" s="1"/>
      <c r="Y1014" s="1"/>
      <c r="Z1014" s="1"/>
      <c r="AA1014" s="1"/>
    </row>
    <row r="1015" spans="22:27" ht="12.75">
      <c r="V1015" s="2"/>
      <c r="W1015" s="1"/>
      <c r="X1015" s="1"/>
      <c r="Y1015" s="1"/>
      <c r="Z1015" s="1"/>
      <c r="AA1015" s="1"/>
    </row>
    <row r="1016" spans="22:27" ht="12.75">
      <c r="V1016" s="2"/>
      <c r="W1016" s="1"/>
      <c r="X1016" s="1"/>
      <c r="Y1016" s="1"/>
      <c r="Z1016" s="1"/>
      <c r="AA1016" s="1"/>
    </row>
    <row r="1017" spans="22:27" ht="12.75">
      <c r="V1017" s="2"/>
      <c r="W1017" s="1"/>
      <c r="X1017" s="1"/>
      <c r="Y1017" s="1"/>
      <c r="Z1017" s="1"/>
      <c r="AA1017" s="1"/>
    </row>
    <row r="1018" spans="22:27" ht="12.75">
      <c r="V1018" s="2"/>
      <c r="W1018" s="1"/>
      <c r="X1018" s="1"/>
      <c r="Y1018" s="1"/>
      <c r="Z1018" s="1"/>
      <c r="AA1018" s="1"/>
    </row>
    <row r="1019" spans="22:27" ht="12.75">
      <c r="V1019" s="2"/>
      <c r="W1019" s="1"/>
      <c r="X1019" s="1"/>
      <c r="Y1019" s="1"/>
      <c r="Z1019" s="1"/>
      <c r="AA1019" s="1"/>
    </row>
    <row r="1020" spans="22:27" ht="12.75">
      <c r="V1020" s="2"/>
      <c r="W1020" s="1"/>
      <c r="X1020" s="1"/>
      <c r="Y1020" s="1"/>
      <c r="Z1020" s="1"/>
      <c r="AA1020" s="1"/>
    </row>
    <row r="1021" spans="22:27" ht="12.75">
      <c r="V1021" s="2"/>
      <c r="W1021" s="1"/>
      <c r="X1021" s="1"/>
      <c r="Y1021" s="1"/>
      <c r="Z1021" s="1"/>
      <c r="AA1021" s="1"/>
    </row>
    <row r="1022" spans="22:27" ht="12.75">
      <c r="V1022" s="2"/>
      <c r="W1022" s="1"/>
      <c r="X1022" s="1"/>
      <c r="Y1022" s="1"/>
      <c r="Z1022" s="1"/>
      <c r="AA1022" s="1"/>
    </row>
    <row r="1023" spans="22:27" ht="12.75">
      <c r="V1023" s="2"/>
      <c r="W1023" s="1"/>
      <c r="X1023" s="1"/>
      <c r="Y1023" s="1"/>
      <c r="Z1023" s="1"/>
      <c r="AA1023" s="1"/>
    </row>
    <row r="1024" spans="22:27" ht="12.75">
      <c r="V1024" s="2"/>
      <c r="W1024" s="1"/>
      <c r="X1024" s="1"/>
      <c r="Y1024" s="1"/>
      <c r="Z1024" s="1"/>
      <c r="AA1024" s="1"/>
    </row>
    <row r="1025" spans="22:27" ht="12.75">
      <c r="V1025" s="2"/>
      <c r="W1025" s="1"/>
      <c r="X1025" s="1"/>
      <c r="Y1025" s="1"/>
      <c r="Z1025" s="1"/>
      <c r="AA1025" s="1"/>
    </row>
    <row r="1026" spans="22:27" ht="12.75">
      <c r="V1026" s="2"/>
      <c r="W1026" s="1"/>
      <c r="X1026" s="1"/>
      <c r="Y1026" s="1"/>
      <c r="Z1026" s="1"/>
      <c r="AA1026" s="1"/>
    </row>
    <row r="1027" spans="22:27" ht="12.75">
      <c r="V1027" s="2"/>
      <c r="W1027" s="1"/>
      <c r="X1027" s="1"/>
      <c r="Y1027" s="1"/>
      <c r="Z1027" s="1"/>
      <c r="AA1027" s="1"/>
    </row>
    <row r="1028" spans="22:27" ht="12.75">
      <c r="V1028" s="2"/>
      <c r="W1028" s="1"/>
      <c r="X1028" s="1"/>
      <c r="Y1028" s="1"/>
      <c r="Z1028" s="1"/>
      <c r="AA1028" s="1"/>
    </row>
    <row r="1029" spans="22:27" ht="12.75">
      <c r="V1029" s="2"/>
      <c r="W1029" s="1"/>
      <c r="X1029" s="1"/>
      <c r="Y1029" s="1"/>
      <c r="Z1029" s="1"/>
      <c r="AA1029" s="1"/>
    </row>
    <row r="1030" spans="22:27" ht="12.75">
      <c r="V1030" s="2"/>
      <c r="W1030" s="1"/>
      <c r="X1030" s="1"/>
      <c r="Y1030" s="1"/>
      <c r="Z1030" s="1"/>
      <c r="AA1030" s="1"/>
    </row>
    <row r="1031" spans="22:27" ht="12.75">
      <c r="V1031" s="2"/>
      <c r="W1031" s="1"/>
      <c r="X1031" s="1"/>
      <c r="Y1031" s="1"/>
      <c r="Z1031" s="1"/>
      <c r="AA1031" s="1"/>
    </row>
    <row r="1032" spans="22:27" ht="12.75">
      <c r="V1032" s="2"/>
      <c r="W1032" s="1"/>
      <c r="X1032" s="1"/>
      <c r="Y1032" s="1"/>
      <c r="Z1032" s="1"/>
      <c r="AA1032" s="1"/>
    </row>
    <row r="1033" spans="22:27" ht="12.75">
      <c r="V1033" s="2"/>
      <c r="W1033" s="1"/>
      <c r="X1033" s="1"/>
      <c r="Y1033" s="1"/>
      <c r="Z1033" s="1"/>
      <c r="AA1033" s="1"/>
    </row>
    <row r="1034" spans="22:27" ht="12.75">
      <c r="V1034" s="2"/>
      <c r="W1034" s="1"/>
      <c r="X1034" s="1"/>
      <c r="Y1034" s="1"/>
      <c r="Z1034" s="1"/>
      <c r="AA1034" s="1"/>
    </row>
    <row r="1035" spans="22:27" ht="12.75">
      <c r="V1035" s="2"/>
      <c r="W1035" s="1"/>
      <c r="X1035" s="1"/>
      <c r="Y1035" s="1"/>
      <c r="Z1035" s="1"/>
      <c r="AA1035" s="1"/>
    </row>
    <row r="1036" spans="22:27" ht="12.75">
      <c r="V1036" s="2"/>
      <c r="W1036" s="1"/>
      <c r="X1036" s="1"/>
      <c r="Y1036" s="1"/>
      <c r="Z1036" s="1"/>
      <c r="AA1036" s="1"/>
    </row>
    <row r="1037" spans="22:27" ht="12.75">
      <c r="V1037" s="2"/>
      <c r="W1037" s="1"/>
      <c r="X1037" s="1"/>
      <c r="Y1037" s="1"/>
      <c r="Z1037" s="1"/>
      <c r="AA1037" s="1"/>
    </row>
    <row r="1038" spans="22:27" ht="12.75">
      <c r="V1038" s="3"/>
      <c r="W1038" s="4"/>
      <c r="X1038" s="4"/>
      <c r="Y1038" s="4"/>
      <c r="Z1038" s="4"/>
      <c r="AA1038" s="4"/>
    </row>
  </sheetData>
  <sheetProtection algorithmName="SHA-512" hashValue="3fgdgrF6+HZCHcSPJy0a5wZ8kJrGmydkLLpApiyPe4SsUciqVl9/wC5HzUWaL27lDMhabMMDOEXKu1o9zrsRbw==" saltValue="RTjtBy27riGmDwc/AsP3Qw==" spinCount="100000" sheet="1" objects="1" scenarios="1" selectLockedCells="1"/>
  <mergeCells count="69">
    <mergeCell ref="V5:W6"/>
    <mergeCell ref="B92:B93"/>
    <mergeCell ref="B20:B21"/>
    <mergeCell ref="J5:Q5"/>
    <mergeCell ref="R5:U5"/>
    <mergeCell ref="J6:L6"/>
    <mergeCell ref="N6:P6"/>
    <mergeCell ref="R6:T6"/>
    <mergeCell ref="C6:E6"/>
    <mergeCell ref="F6:H6"/>
    <mergeCell ref="C5:H5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W42:W43"/>
    <mergeCell ref="W44:W45"/>
    <mergeCell ref="W46:W47"/>
    <mergeCell ref="W48:W49"/>
    <mergeCell ref="W50:W51"/>
    <mergeCell ref="W52:W53"/>
    <mergeCell ref="W54:W55"/>
    <mergeCell ref="W56:W57"/>
    <mergeCell ref="W58:W59"/>
    <mergeCell ref="W60:W61"/>
    <mergeCell ref="W62:W63"/>
    <mergeCell ref="W64:W65"/>
    <mergeCell ref="W66:W67"/>
    <mergeCell ref="W68:W69"/>
    <mergeCell ref="W70:W71"/>
    <mergeCell ref="W72:W73"/>
    <mergeCell ref="W74:W75"/>
    <mergeCell ref="W76:W77"/>
    <mergeCell ref="W78:W79"/>
    <mergeCell ref="W80:W81"/>
    <mergeCell ref="W92:W93"/>
    <mergeCell ref="W94:W95"/>
    <mergeCell ref="W96:W97"/>
    <mergeCell ref="W98:W99"/>
    <mergeCell ref="W82:W83"/>
    <mergeCell ref="W84:W85"/>
    <mergeCell ref="W86:W87"/>
    <mergeCell ref="W88:W89"/>
    <mergeCell ref="W90:W91"/>
    <mergeCell ref="W102:W103"/>
    <mergeCell ref="W100:W101"/>
    <mergeCell ref="W104:W105"/>
    <mergeCell ref="W106:W107"/>
    <mergeCell ref="B110:W110"/>
    <mergeCell ref="W108:W109"/>
    <mergeCell ref="X8:AA8"/>
    <mergeCell ref="X9:AA9"/>
    <mergeCell ref="X10:AA10"/>
    <mergeCell ref="X11:AA11"/>
    <mergeCell ref="A1:W4"/>
    <mergeCell ref="B7:E7"/>
    <mergeCell ref="W10:W11"/>
    <mergeCell ref="W8:W9"/>
  </mergeCells>
  <phoneticPr fontId="17" type="noConversion"/>
  <conditionalFormatting sqref="C8:T8">
    <cfRule type="containsText" dxfId="54" priority="54" operator="containsText" text="True">
      <formula>NOT(ISERROR(SEARCH(("True"),(C8))))</formula>
    </cfRule>
  </conditionalFormatting>
  <conditionalFormatting sqref="C9:T9">
    <cfRule type="expression" dxfId="53" priority="52">
      <formula>C9=1</formula>
    </cfRule>
    <cfRule type="containsText" dxfId="52" priority="53" operator="containsText" text="TRUE">
      <formula>NOT(ISERROR(SEARCH(("TRUE"),(C9))))</formula>
    </cfRule>
  </conditionalFormatting>
  <conditionalFormatting sqref="C10:V10">
    <cfRule type="containsText" dxfId="51" priority="123" operator="containsText" text="True">
      <formula>NOT(ISERROR(SEARCH(("True"),(C10))))</formula>
    </cfRule>
  </conditionalFormatting>
  <conditionalFormatting sqref="C11:V11 C13:V13 C15:V15 C17:V17 C19:V19 C21:V21 C23:V23 C25:V25 C27:V27 C29:V29 C31:V31 C33:V33 C35:V35 C37:V37 C39:V39 C41:V41 C43:V43 C45:V45 C47:V47 C49:V49 C51:V51 C53:V53 C55:V55 C57:V57 C59:V59 C61:V61 C63:V63 C65:V65 C67:V67 C69:V69 C71:V71 C73:V73 C75:V75 C77:V77 C79:V79 C81:V81 C83:V83 C85:V85 C87:V87 C89:V89 C91:V91 C93:V93 C95:V95 C97:V97 C99:V99 C101:V101 C103:V103 C105:V105 C107:V107 C109:V109">
    <cfRule type="expression" dxfId="50" priority="117">
      <formula>C11=1</formula>
    </cfRule>
    <cfRule type="containsText" dxfId="49" priority="118" operator="containsText" text="TRUE">
      <formula>NOT(ISERROR(SEARCH(("TRUE"),(C11))))</formula>
    </cfRule>
  </conditionalFormatting>
  <conditionalFormatting sqref="C12:V12">
    <cfRule type="containsText" dxfId="48" priority="51" operator="containsText" text="True">
      <formula>NOT(ISERROR(SEARCH(("True"),(C12))))</formula>
    </cfRule>
  </conditionalFormatting>
  <conditionalFormatting sqref="C14:V14">
    <cfRule type="containsText" dxfId="47" priority="50" operator="containsText" text="True">
      <formula>NOT(ISERROR(SEARCH(("True"),(C14))))</formula>
    </cfRule>
  </conditionalFormatting>
  <conditionalFormatting sqref="C16:V16">
    <cfRule type="containsText" dxfId="46" priority="49" operator="containsText" text="True">
      <formula>NOT(ISERROR(SEARCH(("True"),(C16))))</formula>
    </cfRule>
  </conditionalFormatting>
  <conditionalFormatting sqref="C18:V18">
    <cfRule type="containsText" dxfId="45" priority="48" operator="containsText" text="True">
      <formula>NOT(ISERROR(SEARCH(("True"),(C18))))</formula>
    </cfRule>
  </conditionalFormatting>
  <conditionalFormatting sqref="C20:V20">
    <cfRule type="containsText" dxfId="44" priority="47" operator="containsText" text="True">
      <formula>NOT(ISERROR(SEARCH(("True"),(C20))))</formula>
    </cfRule>
  </conditionalFormatting>
  <conditionalFormatting sqref="C22:V22">
    <cfRule type="containsText" dxfId="43" priority="46" operator="containsText" text="True">
      <formula>NOT(ISERROR(SEARCH(("True"),(C22))))</formula>
    </cfRule>
  </conditionalFormatting>
  <conditionalFormatting sqref="C24:V24">
    <cfRule type="containsText" dxfId="42" priority="45" operator="containsText" text="True">
      <formula>NOT(ISERROR(SEARCH(("True"),(C24))))</formula>
    </cfRule>
  </conditionalFormatting>
  <conditionalFormatting sqref="C26:V26">
    <cfRule type="containsText" dxfId="41" priority="44" operator="containsText" text="True">
      <formula>NOT(ISERROR(SEARCH(("True"),(C26))))</formula>
    </cfRule>
  </conditionalFormatting>
  <conditionalFormatting sqref="C28:V28">
    <cfRule type="containsText" dxfId="40" priority="2" operator="containsText" text="True">
      <formula>NOT(ISERROR(SEARCH(("True"),(C28))))</formula>
    </cfRule>
  </conditionalFormatting>
  <conditionalFormatting sqref="C30:V30">
    <cfRule type="containsText" dxfId="39" priority="42" operator="containsText" text="True">
      <formula>NOT(ISERROR(SEARCH(("True"),(C30))))</formula>
    </cfRule>
  </conditionalFormatting>
  <conditionalFormatting sqref="C32:V32">
    <cfRule type="containsText" dxfId="38" priority="41" operator="containsText" text="True">
      <formula>NOT(ISERROR(SEARCH(("True"),(C32))))</formula>
    </cfRule>
  </conditionalFormatting>
  <conditionalFormatting sqref="C34:V34">
    <cfRule type="containsText" dxfId="37" priority="40" operator="containsText" text="True">
      <formula>NOT(ISERROR(SEARCH(("True"),(C34))))</formula>
    </cfRule>
  </conditionalFormatting>
  <conditionalFormatting sqref="C36:V36">
    <cfRule type="containsText" dxfId="36" priority="39" operator="containsText" text="True">
      <formula>NOT(ISERROR(SEARCH(("True"),(C36))))</formula>
    </cfRule>
  </conditionalFormatting>
  <conditionalFormatting sqref="C38:V38">
    <cfRule type="containsText" dxfId="35" priority="38" operator="containsText" text="True">
      <formula>NOT(ISERROR(SEARCH(("True"),(C38))))</formula>
    </cfRule>
  </conditionalFormatting>
  <conditionalFormatting sqref="C40:V40">
    <cfRule type="containsText" dxfId="34" priority="37" operator="containsText" text="True">
      <formula>NOT(ISERROR(SEARCH(("True"),(C40))))</formula>
    </cfRule>
  </conditionalFormatting>
  <conditionalFormatting sqref="C42:V42">
    <cfRule type="containsText" dxfId="33" priority="36" operator="containsText" text="True">
      <formula>NOT(ISERROR(SEARCH(("True"),(C42))))</formula>
    </cfRule>
  </conditionalFormatting>
  <conditionalFormatting sqref="C44:V44">
    <cfRule type="containsText" dxfId="32" priority="35" operator="containsText" text="True">
      <formula>NOT(ISERROR(SEARCH(("True"),(C44))))</formula>
    </cfRule>
  </conditionalFormatting>
  <conditionalFormatting sqref="C46:V46">
    <cfRule type="containsText" dxfId="31" priority="34" operator="containsText" text="True">
      <formula>NOT(ISERROR(SEARCH(("True"),(C46))))</formula>
    </cfRule>
  </conditionalFormatting>
  <conditionalFormatting sqref="C48:V48">
    <cfRule type="containsText" dxfId="30" priority="33" operator="containsText" text="True">
      <formula>NOT(ISERROR(SEARCH(("True"),(C48))))</formula>
    </cfRule>
  </conditionalFormatting>
  <conditionalFormatting sqref="C50:V50">
    <cfRule type="containsText" dxfId="29" priority="32" operator="containsText" text="True">
      <formula>NOT(ISERROR(SEARCH(("True"),(C50))))</formula>
    </cfRule>
  </conditionalFormatting>
  <conditionalFormatting sqref="C52:V52">
    <cfRule type="containsText" dxfId="28" priority="31" operator="containsText" text="True">
      <formula>NOT(ISERROR(SEARCH(("True"),(C52))))</formula>
    </cfRule>
  </conditionalFormatting>
  <conditionalFormatting sqref="C54:V54">
    <cfRule type="containsText" dxfId="27" priority="30" operator="containsText" text="True">
      <formula>NOT(ISERROR(SEARCH(("True"),(C54))))</formula>
    </cfRule>
  </conditionalFormatting>
  <conditionalFormatting sqref="C56:V56">
    <cfRule type="containsText" dxfId="26" priority="29" operator="containsText" text="True">
      <formula>NOT(ISERROR(SEARCH(("True"),(C56))))</formula>
    </cfRule>
  </conditionalFormatting>
  <conditionalFormatting sqref="C58:V58">
    <cfRule type="containsText" dxfId="25" priority="28" operator="containsText" text="True">
      <formula>NOT(ISERROR(SEARCH(("True"),(C58))))</formula>
    </cfRule>
  </conditionalFormatting>
  <conditionalFormatting sqref="C60:V60">
    <cfRule type="containsText" dxfId="24" priority="26" operator="containsText" text="True">
      <formula>NOT(ISERROR(SEARCH(("True"),(C60))))</formula>
    </cfRule>
  </conditionalFormatting>
  <conditionalFormatting sqref="C62:V62">
    <cfRule type="containsText" dxfId="23" priority="25" operator="containsText" text="True">
      <formula>NOT(ISERROR(SEARCH(("True"),(C62))))</formula>
    </cfRule>
  </conditionalFormatting>
  <conditionalFormatting sqref="C64:V64">
    <cfRule type="containsText" dxfId="22" priority="24" operator="containsText" text="True">
      <formula>NOT(ISERROR(SEARCH(("True"),(C64))))</formula>
    </cfRule>
  </conditionalFormatting>
  <conditionalFormatting sqref="C66:V66">
    <cfRule type="containsText" dxfId="21" priority="23" operator="containsText" text="True">
      <formula>NOT(ISERROR(SEARCH(("True"),(C66))))</formula>
    </cfRule>
  </conditionalFormatting>
  <conditionalFormatting sqref="C68:V68">
    <cfRule type="containsText" dxfId="20" priority="22" operator="containsText" text="True">
      <formula>NOT(ISERROR(SEARCH(("True"),(C68))))</formula>
    </cfRule>
  </conditionalFormatting>
  <conditionalFormatting sqref="C70:V70">
    <cfRule type="containsText" dxfId="19" priority="21" operator="containsText" text="True">
      <formula>NOT(ISERROR(SEARCH(("True"),(C70))))</formula>
    </cfRule>
  </conditionalFormatting>
  <conditionalFormatting sqref="C72:V72">
    <cfRule type="containsText" dxfId="18" priority="20" operator="containsText" text="True">
      <formula>NOT(ISERROR(SEARCH(("True"),(C72))))</formula>
    </cfRule>
  </conditionalFormatting>
  <conditionalFormatting sqref="C74:V74">
    <cfRule type="containsText" dxfId="17" priority="19" operator="containsText" text="True">
      <formula>NOT(ISERROR(SEARCH(("True"),(C74))))</formula>
    </cfRule>
  </conditionalFormatting>
  <conditionalFormatting sqref="C76:V76">
    <cfRule type="containsText" dxfId="16" priority="18" operator="containsText" text="True">
      <formula>NOT(ISERROR(SEARCH(("True"),(C76))))</formula>
    </cfRule>
  </conditionalFormatting>
  <conditionalFormatting sqref="C78:V78">
    <cfRule type="containsText" dxfId="15" priority="17" operator="containsText" text="True">
      <formula>NOT(ISERROR(SEARCH(("True"),(C78))))</formula>
    </cfRule>
  </conditionalFormatting>
  <conditionalFormatting sqref="C80:V80">
    <cfRule type="containsText" dxfId="14" priority="16" operator="containsText" text="True">
      <formula>NOT(ISERROR(SEARCH(("True"),(C80))))</formula>
    </cfRule>
  </conditionalFormatting>
  <conditionalFormatting sqref="C82:V82">
    <cfRule type="containsText" dxfId="13" priority="15" operator="containsText" text="True">
      <formula>NOT(ISERROR(SEARCH(("True"),(C82))))</formula>
    </cfRule>
  </conditionalFormatting>
  <conditionalFormatting sqref="C84:V84">
    <cfRule type="containsText" dxfId="12" priority="14" operator="containsText" text="True">
      <formula>NOT(ISERROR(SEARCH(("True"),(C84))))</formula>
    </cfRule>
  </conditionalFormatting>
  <conditionalFormatting sqref="C86:V86">
    <cfRule type="containsText" dxfId="11" priority="13" operator="containsText" text="True">
      <formula>NOT(ISERROR(SEARCH(("True"),(C86))))</formula>
    </cfRule>
  </conditionalFormatting>
  <conditionalFormatting sqref="C88:V88">
    <cfRule type="containsText" dxfId="10" priority="12" operator="containsText" text="True">
      <formula>NOT(ISERROR(SEARCH(("True"),(C88))))</formula>
    </cfRule>
  </conditionalFormatting>
  <conditionalFormatting sqref="C90:V90">
    <cfRule type="containsText" dxfId="9" priority="11" operator="containsText" text="True">
      <formula>NOT(ISERROR(SEARCH(("True"),(C90))))</formula>
    </cfRule>
  </conditionalFormatting>
  <conditionalFormatting sqref="C92:V92">
    <cfRule type="containsText" dxfId="8" priority="10" operator="containsText" text="True">
      <formula>NOT(ISERROR(SEARCH(("True"),(C92))))</formula>
    </cfRule>
  </conditionalFormatting>
  <conditionalFormatting sqref="C94:V94">
    <cfRule type="containsText" dxfId="7" priority="9" operator="containsText" text="True">
      <formula>NOT(ISERROR(SEARCH(("True"),(C94))))</formula>
    </cfRule>
  </conditionalFormatting>
  <conditionalFormatting sqref="C96:V96">
    <cfRule type="containsText" dxfId="6" priority="8" operator="containsText" text="True">
      <formula>NOT(ISERROR(SEARCH(("True"),(C96))))</formula>
    </cfRule>
  </conditionalFormatting>
  <conditionalFormatting sqref="C98:V98">
    <cfRule type="containsText" dxfId="5" priority="7" operator="containsText" text="True">
      <formula>NOT(ISERROR(SEARCH(("True"),(C98))))</formula>
    </cfRule>
  </conditionalFormatting>
  <conditionalFormatting sqref="C100:V100">
    <cfRule type="containsText" dxfId="4" priority="6" operator="containsText" text="True">
      <formula>NOT(ISERROR(SEARCH(("True"),(C100))))</formula>
    </cfRule>
  </conditionalFormatting>
  <conditionalFormatting sqref="C102:V102">
    <cfRule type="containsText" dxfId="3" priority="5" operator="containsText" text="True">
      <formula>NOT(ISERROR(SEARCH(("True"),(C102))))</formula>
    </cfRule>
  </conditionalFormatting>
  <conditionalFormatting sqref="C104:V104">
    <cfRule type="containsText" dxfId="2" priority="4" operator="containsText" text="True">
      <formula>NOT(ISERROR(SEARCH(("True"),(C104))))</formula>
    </cfRule>
  </conditionalFormatting>
  <conditionalFormatting sqref="C106:V106">
    <cfRule type="containsText" dxfId="1" priority="3" operator="containsText" text="True">
      <formula>NOT(ISERROR(SEARCH(("True"),(C106))))</formula>
    </cfRule>
  </conditionalFormatting>
  <conditionalFormatting sqref="C108:V108">
    <cfRule type="containsText" dxfId="0" priority="1" operator="containsText" text="True">
      <formula>NOT(ISERROR(SEARCH(("True"),(C108))))</formula>
    </cfRule>
  </conditionalFormatting>
  <conditionalFormatting sqref="W8:W109">
    <cfRule type="colorScale" priority="124">
      <colorScale>
        <cfvo type="formula" val="0%"/>
        <cfvo type="formula" val="100%"/>
        <color rgb="FFFFFFFF"/>
        <color rgb="FF34A853"/>
      </colorScale>
    </cfRule>
  </conditionalFormatting>
  <dataValidations count="1">
    <dataValidation type="whole" allowBlank="1" showInputMessage="1" showErrorMessage="1" sqref="C9:T9 C11:V11 C13:V13 C15:V15 C17:V17 C19:V19 C21:V21 C23:V23 C25:V25 C27:V27 C29:V29 C31:V31 C33:V33 C35:V35 C37:V37 C39:V39 C41:V41 C43:V43 C45:V45 C47:V47 C49:V49 C51:V51 C53:V53 C55:V55 C57:V57 C59:V59 C61:V61 C63:V63 C65:V65 C67:V67 C69:V69 C71:V71 C73:V73 C75:V75 C77:V77 C79:V79 C81:V81 C83:V83 C85:V85 C87:V87 C89:V89 C91:V91 C93:V93 C95:V95 C97:V97 C99:V99 C101:V101 C103:V103 C105:V105 C107:V107 C109:V109" xr:uid="{BB7F766D-5CF7-409A-94BA-A5853B415161}">
      <formula1>0</formula1>
      <formula2>1</formula2>
    </dataValidation>
  </dataValidations>
  <hyperlinks>
    <hyperlink ref="B110" r:id="rId1" xr:uid="{00000000-0004-0000-0000-000000000000}"/>
    <hyperlink ref="V5:W6" r:id="rId2" display="Planilla realizada por: IDEASPARAIMPRIMIR.COM" xr:uid="{2117DD87-A688-4A4E-BAB0-B5772AE86651}"/>
  </hyperlinks>
  <pageMargins left="0" right="0" top="0" bottom="0" header="0" footer="0"/>
  <pageSetup paperSize="9" orientation="portrait" horizontalDpi="0" verticalDpi="0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IDEASPARAIMPRIMIR.COM</vt:lpstr>
    </vt:vector>
  </TitlesOfParts>
  <Manager/>
  <Company>ideasparaimprimir.com</Company>
  <LinksUpToDate>false</LinksUpToDate>
  <SharedDoc>false</SharedDoc>
  <HyperlinkBase>ideasparaimprimir.com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ideasparaimprimir.com</dc:title>
  <dc:subject>ideasparaimprimir.com</dc:subject>
  <dc:creator>Pablo</dc:creator>
  <cp:keywords>ideasparaimprimir.com</cp:keywords>
  <dc:description>ideasparaimprimir.com</dc:description>
  <cp:lastModifiedBy>Pablo Yawny</cp:lastModifiedBy>
  <cp:revision/>
  <dcterms:created xsi:type="dcterms:W3CDTF">2025-05-05T17:33:45Z</dcterms:created>
  <dcterms:modified xsi:type="dcterms:W3CDTF">2026-05-07T03:53:58Z</dcterms:modified>
  <cp:category>ideasparaimprimir.com</cp:category>
  <cp:contentStatus>ideasparaimprimir.com</cp:contentStatus>
</cp:coreProperties>
</file>